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куф\физика\"/>
    </mc:Choice>
  </mc:AlternateContent>
  <xr:revisionPtr revIDLastSave="0" documentId="13_ncr:1_{B6F59A8F-487D-4EA3-A4A1-D8717C855DCD}" xr6:coauthVersionLast="47" xr6:coauthVersionMax="47" xr10:uidLastSave="{00000000-0000-0000-0000-000000000000}"/>
  <bookViews>
    <workbookView xWindow="-120" yWindow="-120" windowWidth="29040" windowHeight="15840" activeTab="1" xr2:uid="{69A1057D-502C-43A4-867C-8F9ADF51C647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G2" i="2"/>
  <c r="D4" i="2"/>
  <c r="D3" i="2"/>
  <c r="D2" i="2"/>
  <c r="J3" i="1"/>
  <c r="G3" i="1"/>
</calcChain>
</file>

<file path=xl/sharedStrings.xml><?xml version="1.0" encoding="utf-8"?>
<sst xmlns="http://schemas.openxmlformats.org/spreadsheetml/2006/main" count="17" uniqueCount="11">
  <si>
    <t>r,м</t>
  </si>
  <si>
    <t>I, А</t>
  </si>
  <si>
    <t>n</t>
  </si>
  <si>
    <t>B, мТл</t>
  </si>
  <si>
    <t>tg=</t>
  </si>
  <si>
    <t>магнитная постоянная =</t>
  </si>
  <si>
    <t>r, мм</t>
  </si>
  <si>
    <t>1/r, 1/мм</t>
  </si>
  <si>
    <t>№</t>
  </si>
  <si>
    <t>x, см</t>
  </si>
  <si>
    <t>B(теор), мТл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</si>
</sst>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B, мТл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Лист1!$D$2:$D$4</c:f>
              <c:numCache>
                <c:formatCode>General</c:formatCode>
                <c:ptCount val="3"/>
                <c:pt idx="0">
                  <c:v>0.05</c:v>
                </c:pt>
                <c:pt idx="1">
                  <c:v>0.1</c:v>
                </c:pt>
                <c:pt idx="2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C-4E89-B857-69E817790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74751"/>
        <c:axId val="1475076671"/>
      </c:lineChart>
      <c:catAx>
        <c:axId val="14750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5076671"/>
        <c:crosses val="autoZero"/>
        <c:auto val="1"/>
        <c:lblAlgn val="ctr"/>
        <c:lblOffset val="100"/>
        <c:noMultiLvlLbl val="0"/>
      </c:catAx>
      <c:valAx>
        <c:axId val="147507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507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нужная</a:t>
            </a:r>
          </a:p>
        </c:rich>
      </c:tx>
      <c:layout>
        <c:manualLayout>
          <c:xMode val="edge"/>
          <c:yMode val="edge"/>
          <c:x val="0.38118044619422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Лист1!$D$2:$D$4</c:f>
              <c:numCache>
                <c:formatCode>General</c:formatCode>
                <c:ptCount val="3"/>
                <c:pt idx="0">
                  <c:v>0.05</c:v>
                </c:pt>
                <c:pt idx="1">
                  <c:v>0.1</c:v>
                </c:pt>
                <c:pt idx="2">
                  <c:v>0.6</c:v>
                </c:pt>
              </c:numCache>
            </c:numRef>
          </c:cat>
          <c:val>
            <c:numRef>
              <c:f>Лист1!$C$2:$C$4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6-4E08-978F-533719D2C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70431"/>
        <c:axId val="1475051231"/>
      </c:lineChart>
      <c:catAx>
        <c:axId val="147507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5051231"/>
        <c:crosses val="autoZero"/>
        <c:auto val="1"/>
        <c:lblAlgn val="ctr"/>
        <c:lblOffset val="100"/>
        <c:noMultiLvlLbl val="0"/>
      </c:catAx>
      <c:valAx>
        <c:axId val="14750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507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Лист2!$D$2:$D$4</c:f>
              <c:numCache>
                <c:formatCode>General</c:formatCode>
                <c:ptCount val="3"/>
                <c:pt idx="0">
                  <c:v>1.6666666666666666E-2</c:v>
                </c:pt>
                <c:pt idx="1">
                  <c:v>1.1111111111111112E-2</c:v>
                </c:pt>
                <c:pt idx="2">
                  <c:v>8.3333333333333332E-3</c:v>
                </c:pt>
              </c:numCache>
            </c:numRef>
          </c:cat>
          <c:val>
            <c:numRef>
              <c:f>Лист2!$C$2:$C$4</c:f>
              <c:numCache>
                <c:formatCode>General</c:formatCode>
                <c:ptCount val="3"/>
                <c:pt idx="0">
                  <c:v>0.11</c:v>
                </c:pt>
                <c:pt idx="1">
                  <c:v>0.08</c:v>
                </c:pt>
                <c:pt idx="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2-4220-8582-BE7339499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69471"/>
        <c:axId val="1475070911"/>
      </c:lineChart>
      <c:catAx>
        <c:axId val="147506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5070911"/>
        <c:crosses val="autoZero"/>
        <c:auto val="1"/>
        <c:lblAlgn val="ctr"/>
        <c:lblOffset val="100"/>
        <c:noMultiLvlLbl val="0"/>
      </c:catAx>
      <c:valAx>
        <c:axId val="147507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506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1581150</xdr:colOff>
      <xdr:row>6</xdr:row>
      <xdr:rowOff>23812</xdr:rowOff>
    </xdr:from>
    <xdr:to>
      <xdr:col>16</xdr:col>
      <xdr:colOff>295275</xdr:colOff>
      <xdr:row>20</xdr:row>
      <xdr:rowOff>100012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05A0751-1A04-1AA6-D1D5-4530D5061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5</xdr:row>
      <xdr:rowOff>157162</xdr:rowOff>
    </xdr:from>
    <xdr:to>
      <xdr:col>7</xdr:col>
      <xdr:colOff>476250</xdr:colOff>
      <xdr:row>20</xdr:row>
      <xdr:rowOff>42862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ED2F588-5E15-B9A3-3617-5781C64B3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14287</xdr:rowOff>
    </xdr:from>
    <xdr:to>
      <xdr:col>7</xdr:col>
      <xdr:colOff>304800</xdr:colOff>
      <xdr:row>19</xdr:row>
      <xdr:rowOff>90487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E942922-3D5B-CBC6-BACC-7A54AD1A5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70F4-7C80-42C4-B346-AD8AB06FD3C8}">
  <dimension ref="A1:J4"/>
  <sheetViews>
    <sheetView workbookViewId="0">
      <selection activeCell="G28" sqref="G28"/>
    </sheetView>
  </sheetViews>
  <sheetFormatPr defaultRowHeight="15" x14ac:dyDescent="0.25"/>
  <cols>
    <col min="9" max="9" width="23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25">
      <c r="A2" s="5">
        <v>0.12</v>
      </c>
      <c r="B2" s="1">
        <v>5</v>
      </c>
      <c r="C2" s="1">
        <v>1</v>
      </c>
      <c r="D2" s="1">
        <v>0.05</v>
      </c>
    </row>
    <row r="3" spans="1:10" x14ac:dyDescent="0.25">
      <c r="A3" s="5"/>
      <c r="B3" s="1">
        <v>5</v>
      </c>
      <c r="C3" s="1">
        <v>2</v>
      </c>
      <c r="D3" s="1">
        <v>0.1</v>
      </c>
      <c r="F3" s="2" t="s">
        <v>4</v>
      </c>
      <c r="G3" s="3">
        <f>(3-1)/(0.6-0.05)</f>
        <v>3.6363636363636367</v>
      </c>
      <c r="I3" t="s">
        <v>5</v>
      </c>
      <c r="J3" s="4">
        <f>((2*A2)/B2)*G3</f>
        <v>0.17454545454545456</v>
      </c>
    </row>
    <row r="4" spans="1:10" x14ac:dyDescent="0.25">
      <c r="A4" s="5"/>
      <c r="B4" s="1">
        <v>5</v>
      </c>
      <c r="C4" s="1">
        <v>3</v>
      </c>
      <c r="D4" s="1">
        <v>0.6</v>
      </c>
    </row>
  </sheetData>
  <mergeCells count="1">
    <mergeCell ref="A2:A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B542-B647-433E-A3B9-B902D01D397E}">
  <dimension ref="A1:J4"/>
  <sheetViews>
    <sheetView tabSelected="1" workbookViewId="0">
      <selection activeCell="I3" sqref="I3"/>
    </sheetView>
  </sheetViews>
  <sheetFormatPr defaultRowHeight="15" x14ac:dyDescent="0.25"/>
  <cols>
    <col min="9" max="9" width="23.28515625" customWidth="1"/>
  </cols>
  <sheetData>
    <row r="1" spans="1:10" x14ac:dyDescent="0.25">
      <c r="A1" s="1" t="s">
        <v>1</v>
      </c>
      <c r="B1" s="1" t="s">
        <v>6</v>
      </c>
      <c r="C1" s="1" t="s">
        <v>3</v>
      </c>
      <c r="D1" s="1" t="s">
        <v>7</v>
      </c>
    </row>
    <row r="2" spans="1:10" x14ac:dyDescent="0.25">
      <c r="A2" s="6">
        <v>5</v>
      </c>
      <c r="B2" s="1">
        <v>60</v>
      </c>
      <c r="C2" s="1">
        <v>0.11</v>
      </c>
      <c r="D2" s="1">
        <f>1/B2</f>
        <v>1.6666666666666666E-2</v>
      </c>
      <c r="F2" s="2" t="s">
        <v>4</v>
      </c>
      <c r="G2" s="3">
        <f>-(C2-C4)/(D2-D4)</f>
        <v>-7.2</v>
      </c>
      <c r="I2" t="s">
        <v>5</v>
      </c>
      <c r="J2" s="4">
        <f>(2/A2)*G2</f>
        <v>-2.8800000000000003</v>
      </c>
    </row>
    <row r="3" spans="1:10" x14ac:dyDescent="0.25">
      <c r="A3" s="7"/>
      <c r="B3" s="1">
        <v>90</v>
      </c>
      <c r="C3" s="1">
        <v>0.08</v>
      </c>
      <c r="D3" s="1">
        <f t="shared" ref="D3" si="0">1/B3</f>
        <v>1.1111111111111112E-2</v>
      </c>
    </row>
    <row r="4" spans="1:10" x14ac:dyDescent="0.25">
      <c r="A4" s="8"/>
      <c r="B4" s="1">
        <v>120</v>
      </c>
      <c r="C4" s="1">
        <v>0.05</v>
      </c>
      <c r="D4" s="1">
        <f>1/B4</f>
        <v>8.3333333333333332E-3</v>
      </c>
    </row>
  </sheetData>
  <mergeCells count="1">
    <mergeCell ref="A2:A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2107-A56E-46A8-AAFA-E048621227EF}">
  <dimension ref="A1:E18"/>
  <sheetViews>
    <sheetView workbookViewId="0">
      <selection activeCell="G5" sqref="G5"/>
    </sheetView>
  </sheetViews>
  <sheetFormatPr defaultRowHeight="15" x14ac:dyDescent="0.25"/>
  <cols>
    <col min="4" max="4" width="12.140625" customWidth="1"/>
  </cols>
  <sheetData>
    <row r="1" spans="1:5" x14ac:dyDescent="0.25">
      <c r="A1" s="1" t="s">
        <v>8</v>
      </c>
      <c r="B1" s="1" t="s">
        <v>9</v>
      </c>
      <c r="C1" s="1" t="s">
        <v>3</v>
      </c>
      <c r="D1" s="1" t="s">
        <v>10</v>
      </c>
      <c r="E1" s="1" t="s">
        <v>1</v>
      </c>
    </row>
    <row r="2" spans="1:5" x14ac:dyDescent="0.25">
      <c r="A2" s="1">
        <v>1</v>
      </c>
      <c r="B2" s="1">
        <v>1</v>
      </c>
      <c r="C2" s="1">
        <v>0.1</v>
      </c>
      <c r="D2" s="1"/>
      <c r="E2" s="5">
        <v>0.1</v>
      </c>
    </row>
    <row r="3" spans="1:5" x14ac:dyDescent="0.25">
      <c r="A3" s="1">
        <v>2</v>
      </c>
      <c r="B3" s="1">
        <v>2</v>
      </c>
      <c r="C3" s="1">
        <v>0.17</v>
      </c>
      <c r="D3" s="1"/>
      <c r="E3" s="5"/>
    </row>
    <row r="4" spans="1:5" x14ac:dyDescent="0.25">
      <c r="A4" s="1">
        <v>3</v>
      </c>
      <c r="B4" s="1">
        <v>3</v>
      </c>
      <c r="C4" s="1">
        <v>0.2</v>
      </c>
      <c r="D4" s="1"/>
      <c r="E4" s="5"/>
    </row>
    <row r="5" spans="1:5" x14ac:dyDescent="0.25">
      <c r="A5" s="1">
        <v>4</v>
      </c>
      <c r="B5" s="1">
        <v>4</v>
      </c>
      <c r="C5" s="1">
        <v>0.22</v>
      </c>
      <c r="D5" s="1"/>
      <c r="E5" s="5"/>
    </row>
    <row r="6" spans="1:5" x14ac:dyDescent="0.25">
      <c r="A6" s="1">
        <v>5</v>
      </c>
      <c r="B6" s="1">
        <v>5</v>
      </c>
      <c r="C6" s="1">
        <v>0.22</v>
      </c>
      <c r="D6" s="1"/>
      <c r="E6" s="5"/>
    </row>
    <row r="7" spans="1:5" x14ac:dyDescent="0.25">
      <c r="A7" s="1">
        <v>6</v>
      </c>
      <c r="B7" s="1">
        <v>6</v>
      </c>
      <c r="C7" s="1">
        <v>0.23</v>
      </c>
      <c r="D7" s="1"/>
      <c r="E7" s="5"/>
    </row>
    <row r="8" spans="1:5" x14ac:dyDescent="0.25">
      <c r="A8" s="1">
        <v>7</v>
      </c>
      <c r="B8" s="1">
        <v>7</v>
      </c>
      <c r="C8" s="1">
        <v>0.23</v>
      </c>
      <c r="D8" s="1"/>
      <c r="E8" s="5"/>
    </row>
    <row r="9" spans="1:5" x14ac:dyDescent="0.25">
      <c r="A9" s="1">
        <v>8</v>
      </c>
      <c r="B9" s="1">
        <v>8</v>
      </c>
      <c r="C9" s="1">
        <v>0.23</v>
      </c>
      <c r="D9" s="1"/>
      <c r="E9" s="5"/>
    </row>
    <row r="10" spans="1:5" x14ac:dyDescent="0.25">
      <c r="A10" s="1">
        <v>9</v>
      </c>
      <c r="B10" s="1">
        <v>9</v>
      </c>
      <c r="C10" s="1">
        <v>0.23</v>
      </c>
      <c r="D10" s="1"/>
      <c r="E10" s="5"/>
    </row>
    <row r="11" spans="1:5" x14ac:dyDescent="0.25">
      <c r="A11" s="1">
        <v>10</v>
      </c>
      <c r="B11" s="1">
        <v>10</v>
      </c>
      <c r="C11" s="1">
        <v>0.23</v>
      </c>
      <c r="D11" s="1"/>
      <c r="E11" s="5"/>
    </row>
    <row r="12" spans="1:5" x14ac:dyDescent="0.25">
      <c r="A12" s="1">
        <v>11</v>
      </c>
      <c r="B12" s="1">
        <v>11</v>
      </c>
      <c r="C12" s="1">
        <v>0.22</v>
      </c>
      <c r="D12" s="1"/>
      <c r="E12" s="5"/>
    </row>
    <row r="13" spans="1:5" x14ac:dyDescent="0.25">
      <c r="A13" s="1">
        <v>12</v>
      </c>
      <c r="B13" s="1">
        <v>12</v>
      </c>
      <c r="C13" s="1">
        <v>0.22</v>
      </c>
      <c r="D13" s="1"/>
      <c r="E13" s="5"/>
    </row>
    <row r="14" spans="1:5" x14ac:dyDescent="0.25">
      <c r="A14" s="1">
        <v>13</v>
      </c>
      <c r="B14" s="1">
        <v>13</v>
      </c>
      <c r="C14" s="1">
        <v>0.23</v>
      </c>
      <c r="D14" s="1"/>
      <c r="E14" s="5"/>
    </row>
    <row r="15" spans="1:5" x14ac:dyDescent="0.25">
      <c r="A15" s="1">
        <v>14</v>
      </c>
      <c r="B15" s="1">
        <v>14</v>
      </c>
      <c r="C15" s="1">
        <v>0.2</v>
      </c>
      <c r="D15" s="1"/>
      <c r="E15" s="5"/>
    </row>
    <row r="16" spans="1:5" x14ac:dyDescent="0.25">
      <c r="A16" s="1">
        <v>15</v>
      </c>
      <c r="B16" s="1">
        <v>15</v>
      </c>
      <c r="C16" s="1">
        <v>0.2</v>
      </c>
      <c r="D16" s="1"/>
      <c r="E16" s="5"/>
    </row>
    <row r="17" spans="1:5" x14ac:dyDescent="0.25">
      <c r="A17" s="1">
        <v>16</v>
      </c>
      <c r="B17" s="1">
        <v>16</v>
      </c>
      <c r="C17" s="1">
        <v>0.22</v>
      </c>
      <c r="D17" s="1"/>
      <c r="E17" s="5"/>
    </row>
    <row r="18" spans="1:5" x14ac:dyDescent="0.25">
      <c r="A18" s="1">
        <v>17</v>
      </c>
      <c r="B18" s="1">
        <v>17</v>
      </c>
      <c r="C18" s="1">
        <v>0.22</v>
      </c>
      <c r="D18" s="1"/>
      <c r="E18" s="5"/>
    </row>
  </sheetData>
  <mergeCells count="1">
    <mergeCell ref="E2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Назаров</dc:creator>
  <cp:lastModifiedBy>Глеб Назаров</cp:lastModifiedBy>
  <dcterms:created xsi:type="dcterms:W3CDTF">2025-09-21T08:00:32Z</dcterms:created>
  <dcterms:modified xsi:type="dcterms:W3CDTF">2025-10-09T14:30:08Z</dcterms:modified>
</cp:coreProperties>
</file>