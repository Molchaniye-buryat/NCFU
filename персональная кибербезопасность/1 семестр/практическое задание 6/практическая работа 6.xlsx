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скуф\персональная кибербезопасность\практическое задание 6\"/>
    </mc:Choice>
  </mc:AlternateContent>
  <xr:revisionPtr revIDLastSave="0" documentId="13_ncr:1_{64E6151D-DAF4-4A9F-A3F7-7841D26B876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задание 1" sheetId="1" r:id="rId1"/>
    <sheet name="задание 2" sheetId="2" r:id="rId2"/>
    <sheet name="задание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E3" i="3"/>
  <c r="F3" i="3" s="1"/>
  <c r="E4" i="3"/>
  <c r="F4" i="3"/>
  <c r="E5" i="3"/>
  <c r="F5" i="3" s="1"/>
  <c r="E6" i="3"/>
  <c r="F6" i="3" s="1"/>
  <c r="E7" i="3"/>
  <c r="F7" i="3"/>
  <c r="E8" i="3"/>
  <c r="F8" i="3"/>
  <c r="E9" i="3"/>
  <c r="F9" i="3"/>
  <c r="E10" i="3"/>
  <c r="F10" i="3"/>
  <c r="E11" i="3"/>
  <c r="F11" i="3" s="1"/>
  <c r="E12" i="3"/>
  <c r="F12" i="3"/>
  <c r="E13" i="3"/>
  <c r="F13" i="3"/>
  <c r="E14" i="3"/>
  <c r="F14" i="3"/>
  <c r="E15" i="3"/>
  <c r="F15" i="3"/>
  <c r="E16" i="3"/>
  <c r="F16" i="3"/>
  <c r="E17" i="3"/>
  <c r="F17" i="3" s="1"/>
  <c r="E18" i="3"/>
  <c r="F18" i="3"/>
  <c r="E19" i="3"/>
  <c r="F19" i="3"/>
  <c r="E20" i="3"/>
  <c r="F20" i="3"/>
  <c r="E21" i="3"/>
  <c r="F21" i="3"/>
  <c r="F2" i="3"/>
  <c r="E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" i="2"/>
  <c r="G3" i="1"/>
  <c r="I3" i="1" s="1"/>
  <c r="J3" i="1" s="1"/>
  <c r="H3" i="1"/>
  <c r="G4" i="1"/>
  <c r="H4" i="1"/>
  <c r="I4" i="1"/>
  <c r="J4" i="1"/>
  <c r="G5" i="1"/>
  <c r="H5" i="1"/>
  <c r="I5" i="1"/>
  <c r="J5" i="1" s="1"/>
  <c r="G6" i="1"/>
  <c r="I6" i="1" s="1"/>
  <c r="J6" i="1" s="1"/>
  <c r="H6" i="1"/>
  <c r="G7" i="1"/>
  <c r="H7" i="1"/>
  <c r="I7" i="1"/>
  <c r="J7" i="1"/>
  <c r="G8" i="1"/>
  <c r="H8" i="1"/>
  <c r="I8" i="1"/>
  <c r="J8" i="1" s="1"/>
  <c r="G9" i="1"/>
  <c r="I9" i="1" s="1"/>
  <c r="J9" i="1" s="1"/>
  <c r="H9" i="1"/>
  <c r="G10" i="1"/>
  <c r="H10" i="1"/>
  <c r="I10" i="1"/>
  <c r="J10" i="1"/>
  <c r="G11" i="1"/>
  <c r="H11" i="1"/>
  <c r="I11" i="1"/>
  <c r="J11" i="1" s="1"/>
  <c r="G12" i="1"/>
  <c r="I12" i="1" s="1"/>
  <c r="J12" i="1" s="1"/>
  <c r="H12" i="1"/>
  <c r="G13" i="1"/>
  <c r="H13" i="1"/>
  <c r="I13" i="1"/>
  <c r="J13" i="1"/>
  <c r="G14" i="1"/>
  <c r="H14" i="1"/>
  <c r="I14" i="1" s="1"/>
  <c r="J14" i="1" s="1"/>
  <c r="G15" i="1"/>
  <c r="I15" i="1" s="1"/>
  <c r="J15" i="1" s="1"/>
  <c r="H15" i="1"/>
  <c r="G16" i="1"/>
  <c r="H16" i="1"/>
  <c r="I16" i="1"/>
  <c r="J16" i="1"/>
  <c r="G17" i="1"/>
  <c r="H17" i="1"/>
  <c r="I17" i="1" s="1"/>
  <c r="J17" i="1" s="1"/>
  <c r="G18" i="1"/>
  <c r="I18" i="1" s="1"/>
  <c r="J18" i="1" s="1"/>
  <c r="H18" i="1"/>
  <c r="G19" i="1"/>
  <c r="H19" i="1"/>
  <c r="I19" i="1"/>
  <c r="J19" i="1"/>
  <c r="G20" i="1"/>
  <c r="H20" i="1"/>
  <c r="I20" i="1"/>
  <c r="J20" i="1" s="1"/>
  <c r="G21" i="1"/>
  <c r="I21" i="1" s="1"/>
  <c r="J21" i="1" s="1"/>
  <c r="H21" i="1"/>
  <c r="H2" i="1"/>
  <c r="G2" i="1"/>
  <c r="I2" i="1" l="1"/>
  <c r="J2" i="1" s="1"/>
</calcChain>
</file>

<file path=xl/sharedStrings.xml><?xml version="1.0" encoding="utf-8"?>
<sst xmlns="http://schemas.openxmlformats.org/spreadsheetml/2006/main" count="42" uniqueCount="31">
  <si>
    <t>Вариант</t>
  </si>
  <si>
    <t>n</t>
  </si>
  <si>
    <t>k</t>
  </si>
  <si>
    <t>s</t>
  </si>
  <si>
    <t>m</t>
  </si>
  <si>
    <t>v</t>
  </si>
  <si>
    <t>S(кол-во паролей)=</t>
  </si>
  <si>
    <t>n^k</t>
  </si>
  <si>
    <t>S/s</t>
  </si>
  <si>
    <t>(S*v)/m</t>
  </si>
  <si>
    <t>T(итоговое)=</t>
  </si>
  <si>
    <t>T(время пауз)=</t>
  </si>
  <si>
    <t>T+T=</t>
  </si>
  <si>
    <t>T(время подбора без пауз)=</t>
  </si>
  <si>
    <t>T(итог), с</t>
  </si>
  <si>
    <t>T(время пауз), с</t>
  </si>
  <si>
    <t>T(время подбора без пауз), с</t>
  </si>
  <si>
    <t>T(итог), лет</t>
  </si>
  <si>
    <t>t</t>
  </si>
  <si>
    <t>S(кол-во паролей)</t>
  </si>
  <si>
    <t>t*60*60*24*365*s</t>
  </si>
  <si>
    <t>S(кол-во паролей)&lt;=</t>
  </si>
  <si>
    <t>n^L</t>
  </si>
  <si>
    <t>L(минимальная длина)=</t>
  </si>
  <si>
    <t>(log(S))/(log(n))</t>
  </si>
  <si>
    <t>L(минимальная длина)</t>
  </si>
  <si>
    <t>L(итог)</t>
  </si>
  <si>
    <t>k(длина пароля)=</t>
  </si>
  <si>
    <t>S^(1/k)</t>
  </si>
  <si>
    <t>k(длина пароля)</t>
  </si>
  <si>
    <t>k(итог)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</si>
</sst>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/>
    <xf numFmtId="2" fontId="0" fillId="2" borderId="3" xfId="0" applyNumberForma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2" borderId="1" xfId="1" applyNumberFormat="1" applyFont="1" applyFill="1" applyBorder="1" applyAlignment="1">
      <alignment horizontal="center"/>
    </xf>
    <xf numFmtId="2" fontId="0" fillId="2" borderId="7" xfId="0" applyNumberFormat="1" applyFill="1" applyBorder="1"/>
    <xf numFmtId="2" fontId="0" fillId="2" borderId="8" xfId="0" applyNumberFormat="1" applyFill="1" applyBorder="1" applyAlignment="1">
      <alignment horizontal="center"/>
    </xf>
    <xf numFmtId="2" fontId="0" fillId="2" borderId="9" xfId="0" applyNumberFormat="1" applyFill="1" applyBorder="1" applyAlignment="1">
      <alignment horizontal="center"/>
    </xf>
    <xf numFmtId="2" fontId="0" fillId="2" borderId="9" xfId="1" applyNumberFormat="1" applyFont="1" applyFill="1" applyBorder="1" applyAlignment="1">
      <alignment horizontal="center"/>
    </xf>
    <xf numFmtId="2" fontId="0" fillId="2" borderId="10" xfId="0" applyNumberFormat="1" applyFill="1" applyBorder="1"/>
    <xf numFmtId="0" fontId="0" fillId="2" borderId="1" xfId="0" applyFill="1" applyBorder="1"/>
    <xf numFmtId="2" fontId="0" fillId="2" borderId="1" xfId="0" applyNumberFormat="1" applyFill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selection activeCell="L2" sqref="L2"/>
    </sheetView>
  </sheetViews>
  <sheetFormatPr defaultRowHeight="15" x14ac:dyDescent="0.25"/>
  <cols>
    <col min="1" max="1" width="34.28515625" bestFit="1" customWidth="1"/>
    <col min="7" max="7" width="30.28515625" customWidth="1"/>
    <col min="8" max="9" width="23" bestFit="1" customWidth="1"/>
    <col min="10" max="10" width="1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7" t="s">
        <v>16</v>
      </c>
      <c r="H1" s="8" t="s">
        <v>15</v>
      </c>
      <c r="I1" s="8" t="s">
        <v>14</v>
      </c>
      <c r="J1" s="9" t="s">
        <v>17</v>
      </c>
    </row>
    <row r="2" spans="1:10" x14ac:dyDescent="0.25">
      <c r="A2" s="2">
        <v>1</v>
      </c>
      <c r="B2" s="1">
        <v>33</v>
      </c>
      <c r="C2" s="1">
        <v>10</v>
      </c>
      <c r="D2" s="1">
        <v>100</v>
      </c>
      <c r="E2" s="1">
        <v>0</v>
      </c>
      <c r="F2" s="6">
        <v>0</v>
      </c>
      <c r="G2" s="10">
        <f>(B2^C2)/D2</f>
        <v>15315789852644.49</v>
      </c>
      <c r="H2" s="11">
        <f>IFERROR((B2^C2*F2)/E2,0)</f>
        <v>0</v>
      </c>
      <c r="I2" s="12">
        <f>G2+H2</f>
        <v>15315789852644.49</v>
      </c>
      <c r="J2" s="13">
        <f>I2/(60*60*24*365)</f>
        <v>485660.51029440924</v>
      </c>
    </row>
    <row r="3" spans="1:10" x14ac:dyDescent="0.25">
      <c r="A3" s="2">
        <v>2</v>
      </c>
      <c r="B3" s="1">
        <v>26</v>
      </c>
      <c r="C3" s="1">
        <v>12</v>
      </c>
      <c r="D3" s="1">
        <v>13</v>
      </c>
      <c r="E3" s="1">
        <v>3</v>
      </c>
      <c r="F3" s="6">
        <v>2</v>
      </c>
      <c r="G3" s="10">
        <f t="shared" ref="G3:G21" si="0">(B3^C3)/D3</f>
        <v>7340688973975552</v>
      </c>
      <c r="H3" s="11">
        <f t="shared" ref="H3:H21" si="1">IFERROR((B3^C3*F3)/E3,0)</f>
        <v>6.3619304441121448E+16</v>
      </c>
      <c r="I3" s="12">
        <f t="shared" ref="I3:I21" si="2">G3+H3</f>
        <v>7.0959993415097E+16</v>
      </c>
      <c r="J3" s="13">
        <f t="shared" ref="J3:J21" si="3">I3/(60*60*24*365)</f>
        <v>2250126630.3620305</v>
      </c>
    </row>
    <row r="4" spans="1:10" x14ac:dyDescent="0.25">
      <c r="A4" s="2">
        <v>3</v>
      </c>
      <c r="B4" s="1">
        <v>52</v>
      </c>
      <c r="C4" s="1">
        <v>6</v>
      </c>
      <c r="D4" s="1">
        <v>30</v>
      </c>
      <c r="E4" s="1">
        <v>5</v>
      </c>
      <c r="F4" s="6">
        <v>10</v>
      </c>
      <c r="G4" s="10">
        <f t="shared" si="0"/>
        <v>659020322.13333333</v>
      </c>
      <c r="H4" s="11">
        <f t="shared" si="1"/>
        <v>39541219328</v>
      </c>
      <c r="I4" s="12">
        <f t="shared" si="2"/>
        <v>40200239650.133331</v>
      </c>
      <c r="J4" s="13">
        <f t="shared" si="3"/>
        <v>1274.7412370032132</v>
      </c>
    </row>
    <row r="5" spans="1:10" x14ac:dyDescent="0.25">
      <c r="A5" s="2">
        <v>4</v>
      </c>
      <c r="B5" s="1">
        <v>66</v>
      </c>
      <c r="C5" s="1">
        <v>7</v>
      </c>
      <c r="D5" s="1">
        <v>20</v>
      </c>
      <c r="E5" s="1">
        <v>10</v>
      </c>
      <c r="F5" s="6">
        <v>3</v>
      </c>
      <c r="G5" s="10">
        <f t="shared" si="0"/>
        <v>272758035052.79999</v>
      </c>
      <c r="H5" s="11">
        <f t="shared" si="1"/>
        <v>1636548210316.8</v>
      </c>
      <c r="I5" s="12">
        <f t="shared" si="2"/>
        <v>1909306245369.6001</v>
      </c>
      <c r="J5" s="13">
        <f t="shared" si="3"/>
        <v>60543.703873972605</v>
      </c>
    </row>
    <row r="6" spans="1:10" x14ac:dyDescent="0.25">
      <c r="A6" s="2">
        <v>5</v>
      </c>
      <c r="B6" s="1">
        <v>59</v>
      </c>
      <c r="C6" s="1">
        <v>5</v>
      </c>
      <c r="D6" s="1">
        <v>200</v>
      </c>
      <c r="E6" s="1">
        <v>0</v>
      </c>
      <c r="F6" s="6">
        <v>0</v>
      </c>
      <c r="G6" s="10">
        <f t="shared" si="0"/>
        <v>3574621.4950000001</v>
      </c>
      <c r="H6" s="11">
        <f t="shared" si="1"/>
        <v>0</v>
      </c>
      <c r="I6" s="12">
        <f t="shared" si="2"/>
        <v>3574621.4950000001</v>
      </c>
      <c r="J6" s="13">
        <f t="shared" si="3"/>
        <v>0.11335050402714358</v>
      </c>
    </row>
    <row r="7" spans="1:10" x14ac:dyDescent="0.25">
      <c r="A7" s="2">
        <v>6</v>
      </c>
      <c r="B7" s="1">
        <v>118</v>
      </c>
      <c r="C7" s="1">
        <v>9</v>
      </c>
      <c r="D7" s="1">
        <v>50</v>
      </c>
      <c r="E7" s="1">
        <v>7</v>
      </c>
      <c r="F7" s="6">
        <v>12</v>
      </c>
      <c r="G7" s="10">
        <f t="shared" si="0"/>
        <v>8.8709077183026576E+16</v>
      </c>
      <c r="H7" s="11">
        <f t="shared" si="1"/>
        <v>7.6036351871165635E+18</v>
      </c>
      <c r="I7" s="12">
        <f t="shared" si="2"/>
        <v>7.6923442642995896E+18</v>
      </c>
      <c r="J7" s="13">
        <f t="shared" si="3"/>
        <v>243922636488.44461</v>
      </c>
    </row>
    <row r="8" spans="1:10" x14ac:dyDescent="0.25">
      <c r="A8" s="2">
        <v>7</v>
      </c>
      <c r="B8" s="1">
        <v>128</v>
      </c>
      <c r="C8" s="1">
        <v>10</v>
      </c>
      <c r="D8" s="1">
        <v>500</v>
      </c>
      <c r="E8" s="1">
        <v>0</v>
      </c>
      <c r="F8" s="6">
        <v>0</v>
      </c>
      <c r="G8" s="10">
        <f t="shared" si="0"/>
        <v>2.3611832414348227E+18</v>
      </c>
      <c r="H8" s="11">
        <f t="shared" si="1"/>
        <v>0</v>
      </c>
      <c r="I8" s="12">
        <f t="shared" si="2"/>
        <v>2.3611832414348227E+18</v>
      </c>
      <c r="J8" s="13">
        <f t="shared" si="3"/>
        <v>74872629421.449219</v>
      </c>
    </row>
    <row r="9" spans="1:10" x14ac:dyDescent="0.25">
      <c r="A9" s="2">
        <v>8</v>
      </c>
      <c r="B9" s="1">
        <v>150</v>
      </c>
      <c r="C9" s="1">
        <v>3</v>
      </c>
      <c r="D9" s="1">
        <v>200</v>
      </c>
      <c r="E9" s="1">
        <v>5</v>
      </c>
      <c r="F9" s="6">
        <v>3</v>
      </c>
      <c r="G9" s="10">
        <f t="shared" si="0"/>
        <v>16875</v>
      </c>
      <c r="H9" s="11">
        <f t="shared" si="1"/>
        <v>2025000</v>
      </c>
      <c r="I9" s="12">
        <f t="shared" si="2"/>
        <v>2041875</v>
      </c>
      <c r="J9" s="13">
        <f t="shared" si="3"/>
        <v>6.4747431506849321E-2</v>
      </c>
    </row>
    <row r="10" spans="1:10" x14ac:dyDescent="0.25">
      <c r="A10" s="2">
        <v>9</v>
      </c>
      <c r="B10" s="1">
        <v>250</v>
      </c>
      <c r="C10" s="1">
        <v>8</v>
      </c>
      <c r="D10" s="1">
        <v>600</v>
      </c>
      <c r="E10" s="1">
        <v>7</v>
      </c>
      <c r="F10" s="6">
        <v>3</v>
      </c>
      <c r="G10" s="10">
        <f t="shared" si="0"/>
        <v>2.5431315104166668E+16</v>
      </c>
      <c r="H10" s="11">
        <f t="shared" si="1"/>
        <v>6.5394810267857142E+18</v>
      </c>
      <c r="I10" s="12">
        <f t="shared" si="2"/>
        <v>6.5649123418898811E+18</v>
      </c>
      <c r="J10" s="13">
        <f t="shared" si="3"/>
        <v>208172004752.97696</v>
      </c>
    </row>
    <row r="11" spans="1:10" x14ac:dyDescent="0.25">
      <c r="A11" s="2">
        <v>10</v>
      </c>
      <c r="B11" s="1">
        <v>500</v>
      </c>
      <c r="C11" s="1">
        <v>5</v>
      </c>
      <c r="D11" s="1">
        <v>1000</v>
      </c>
      <c r="E11" s="1">
        <v>10</v>
      </c>
      <c r="F11" s="6">
        <v>10</v>
      </c>
      <c r="G11" s="10">
        <f t="shared" si="0"/>
        <v>31250000000</v>
      </c>
      <c r="H11" s="11">
        <f t="shared" si="1"/>
        <v>31250000000000</v>
      </c>
      <c r="I11" s="12">
        <f t="shared" si="2"/>
        <v>31281250000000</v>
      </c>
      <c r="J11" s="13">
        <f t="shared" si="3"/>
        <v>991921.93049213593</v>
      </c>
    </row>
    <row r="12" spans="1:10" x14ac:dyDescent="0.25">
      <c r="A12" s="2">
        <v>11</v>
      </c>
      <c r="B12" s="1">
        <v>32</v>
      </c>
      <c r="C12" s="1">
        <v>9</v>
      </c>
      <c r="D12" s="1">
        <v>200</v>
      </c>
      <c r="E12" s="1">
        <v>0</v>
      </c>
      <c r="F12" s="6">
        <v>12</v>
      </c>
      <c r="G12" s="10">
        <f t="shared" si="0"/>
        <v>175921860444.16</v>
      </c>
      <c r="H12" s="11">
        <f t="shared" si="1"/>
        <v>0</v>
      </c>
      <c r="I12" s="12">
        <f t="shared" si="2"/>
        <v>175921860444.16</v>
      </c>
      <c r="J12" s="13">
        <f t="shared" si="3"/>
        <v>5578.445600081177</v>
      </c>
    </row>
    <row r="13" spans="1:10" x14ac:dyDescent="0.25">
      <c r="A13" s="2">
        <v>12</v>
      </c>
      <c r="B13" s="1">
        <v>27</v>
      </c>
      <c r="C13" s="1">
        <v>10</v>
      </c>
      <c r="D13" s="1">
        <v>50</v>
      </c>
      <c r="E13" s="1">
        <v>7</v>
      </c>
      <c r="F13" s="6">
        <v>0</v>
      </c>
      <c r="G13" s="10">
        <f t="shared" si="0"/>
        <v>4117822641892.98</v>
      </c>
      <c r="H13" s="11">
        <f t="shared" si="1"/>
        <v>0</v>
      </c>
      <c r="I13" s="12">
        <f t="shared" si="2"/>
        <v>4117822641892.98</v>
      </c>
      <c r="J13" s="13">
        <f t="shared" si="3"/>
        <v>130575.29940046233</v>
      </c>
    </row>
    <row r="14" spans="1:10" x14ac:dyDescent="0.25">
      <c r="A14" s="2">
        <v>13</v>
      </c>
      <c r="B14" s="1">
        <v>50</v>
      </c>
      <c r="C14" s="1">
        <v>7</v>
      </c>
      <c r="D14" s="1">
        <v>500</v>
      </c>
      <c r="E14" s="1">
        <v>0</v>
      </c>
      <c r="F14" s="6">
        <v>3</v>
      </c>
      <c r="G14" s="10">
        <f t="shared" si="0"/>
        <v>1562500000</v>
      </c>
      <c r="H14" s="11">
        <f t="shared" si="1"/>
        <v>0</v>
      </c>
      <c r="I14" s="12">
        <f t="shared" si="2"/>
        <v>1562500000</v>
      </c>
      <c r="J14" s="13">
        <f t="shared" si="3"/>
        <v>49.546549974632164</v>
      </c>
    </row>
    <row r="15" spans="1:10" x14ac:dyDescent="0.25">
      <c r="A15" s="2">
        <v>14</v>
      </c>
      <c r="B15" s="1">
        <v>65</v>
      </c>
      <c r="C15" s="1">
        <v>5</v>
      </c>
      <c r="D15" s="1">
        <v>200</v>
      </c>
      <c r="E15" s="1">
        <v>5</v>
      </c>
      <c r="F15" s="6">
        <v>3</v>
      </c>
      <c r="G15" s="10">
        <f t="shared" si="0"/>
        <v>5801453.125</v>
      </c>
      <c r="H15" s="11">
        <f t="shared" si="1"/>
        <v>696174375</v>
      </c>
      <c r="I15" s="12">
        <f t="shared" si="2"/>
        <v>701975828.125</v>
      </c>
      <c r="J15" s="13">
        <f t="shared" si="3"/>
        <v>22.259507487474632</v>
      </c>
    </row>
    <row r="16" spans="1:10" x14ac:dyDescent="0.25">
      <c r="A16" s="2">
        <v>15</v>
      </c>
      <c r="B16" s="1">
        <v>60</v>
      </c>
      <c r="C16" s="1">
        <v>9</v>
      </c>
      <c r="D16" s="1">
        <v>600</v>
      </c>
      <c r="E16" s="1">
        <v>7</v>
      </c>
      <c r="F16" s="6">
        <v>10</v>
      </c>
      <c r="G16" s="10">
        <f t="shared" si="0"/>
        <v>16796160000000</v>
      </c>
      <c r="H16" s="11">
        <f t="shared" si="1"/>
        <v>1.4396708571428572E+16</v>
      </c>
      <c r="I16" s="12">
        <f t="shared" si="2"/>
        <v>1.4413504731428572E+16</v>
      </c>
      <c r="J16" s="13">
        <f t="shared" si="3"/>
        <v>457049236.79060668</v>
      </c>
    </row>
    <row r="17" spans="1:10" x14ac:dyDescent="0.25">
      <c r="A17" s="2">
        <v>16</v>
      </c>
      <c r="B17" s="1">
        <v>110</v>
      </c>
      <c r="C17" s="1">
        <v>10</v>
      </c>
      <c r="D17" s="1">
        <v>1000</v>
      </c>
      <c r="E17" s="1">
        <v>0</v>
      </c>
      <c r="F17" s="6">
        <v>2</v>
      </c>
      <c r="G17" s="10">
        <f t="shared" si="0"/>
        <v>2.5937424601E+17</v>
      </c>
      <c r="H17" s="11">
        <f t="shared" si="1"/>
        <v>0</v>
      </c>
      <c r="I17" s="12">
        <f t="shared" si="2"/>
        <v>2.5937424601E+17</v>
      </c>
      <c r="J17" s="13">
        <f t="shared" si="3"/>
        <v>8224703386.9228821</v>
      </c>
    </row>
    <row r="18" spans="1:10" x14ac:dyDescent="0.25">
      <c r="A18" s="2">
        <v>17</v>
      </c>
      <c r="B18" s="1">
        <v>120</v>
      </c>
      <c r="C18" s="1">
        <v>3</v>
      </c>
      <c r="D18" s="1">
        <v>100</v>
      </c>
      <c r="E18" s="1">
        <v>3</v>
      </c>
      <c r="F18" s="6">
        <v>10</v>
      </c>
      <c r="G18" s="10">
        <f t="shared" si="0"/>
        <v>17280</v>
      </c>
      <c r="H18" s="11">
        <f t="shared" si="1"/>
        <v>5760000</v>
      </c>
      <c r="I18" s="12">
        <f t="shared" si="2"/>
        <v>5777280</v>
      </c>
      <c r="J18" s="13">
        <f t="shared" si="3"/>
        <v>0.18319634703196347</v>
      </c>
    </row>
    <row r="19" spans="1:10" x14ac:dyDescent="0.25">
      <c r="A19" s="2">
        <v>18</v>
      </c>
      <c r="B19" s="1">
        <v>160</v>
      </c>
      <c r="C19" s="1">
        <v>8</v>
      </c>
      <c r="D19" s="1">
        <v>13</v>
      </c>
      <c r="E19" s="1">
        <v>5</v>
      </c>
      <c r="F19" s="6">
        <v>3</v>
      </c>
      <c r="G19" s="10">
        <f t="shared" si="0"/>
        <v>3.3038209969230768E+16</v>
      </c>
      <c r="H19" s="11">
        <f t="shared" si="1"/>
        <v>2.5769803776E+17</v>
      </c>
      <c r="I19" s="12">
        <f t="shared" si="2"/>
        <v>2.9073624772923078E+17</v>
      </c>
      <c r="J19" s="13">
        <f t="shared" si="3"/>
        <v>9219185937.6341572</v>
      </c>
    </row>
    <row r="20" spans="1:10" x14ac:dyDescent="0.25">
      <c r="A20" s="2">
        <v>19</v>
      </c>
      <c r="B20" s="1">
        <v>240</v>
      </c>
      <c r="C20" s="1">
        <v>7</v>
      </c>
      <c r="D20" s="1">
        <v>30</v>
      </c>
      <c r="E20" s="1">
        <v>10</v>
      </c>
      <c r="F20" s="6">
        <v>0</v>
      </c>
      <c r="G20" s="10">
        <f t="shared" si="0"/>
        <v>1528823808000000</v>
      </c>
      <c r="H20" s="11">
        <f t="shared" si="1"/>
        <v>0</v>
      </c>
      <c r="I20" s="12">
        <f t="shared" si="2"/>
        <v>1528823808000000</v>
      </c>
      <c r="J20" s="13">
        <f t="shared" si="3"/>
        <v>48478684.93150685</v>
      </c>
    </row>
    <row r="21" spans="1:10" ht="15.75" thickBot="1" x14ac:dyDescent="0.3">
      <c r="A21" s="2">
        <v>20</v>
      </c>
      <c r="B21" s="1">
        <v>510</v>
      </c>
      <c r="C21" s="1">
        <v>5</v>
      </c>
      <c r="D21" s="1">
        <v>20</v>
      </c>
      <c r="E21" s="1">
        <v>0</v>
      </c>
      <c r="F21" s="6">
        <v>0</v>
      </c>
      <c r="G21" s="14">
        <f t="shared" si="0"/>
        <v>1725126255000</v>
      </c>
      <c r="H21" s="15">
        <f t="shared" si="1"/>
        <v>0</v>
      </c>
      <c r="I21" s="16">
        <f t="shared" si="2"/>
        <v>1725126255000</v>
      </c>
      <c r="J21" s="17">
        <f t="shared" si="3"/>
        <v>54703.394691780821</v>
      </c>
    </row>
    <row r="23" spans="1:10" x14ac:dyDescent="0.25">
      <c r="A23" s="3" t="s">
        <v>6</v>
      </c>
      <c r="B23" t="s">
        <v>7</v>
      </c>
    </row>
    <row r="24" spans="1:10" ht="21" customHeight="1" x14ac:dyDescent="0.25">
      <c r="A24" s="3" t="s">
        <v>13</v>
      </c>
      <c r="B24" t="s">
        <v>8</v>
      </c>
    </row>
    <row r="25" spans="1:10" x14ac:dyDescent="0.25">
      <c r="A25" s="3" t="s">
        <v>11</v>
      </c>
      <c r="B25" t="s">
        <v>9</v>
      </c>
    </row>
    <row r="26" spans="1:10" x14ac:dyDescent="0.25">
      <c r="A26" s="3" t="s">
        <v>10</v>
      </c>
      <c r="B26" s="4" t="s">
        <v>12</v>
      </c>
    </row>
    <row r="27" spans="1:10" x14ac:dyDescent="0.25">
      <c r="A27" s="3"/>
    </row>
    <row r="28" spans="1:10" x14ac:dyDescent="0.25">
      <c r="A28" s="3"/>
    </row>
    <row r="29" spans="1:10" x14ac:dyDescent="0.25">
      <c r="A29" s="3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6F376-C81C-4766-AC8A-4AEAF569A895}">
  <dimension ref="A1:G34"/>
  <sheetViews>
    <sheetView workbookViewId="0">
      <selection activeCell="I21" sqref="I21"/>
    </sheetView>
  </sheetViews>
  <sheetFormatPr defaultRowHeight="15" x14ac:dyDescent="0.25"/>
  <cols>
    <col min="1" max="1" width="23.28515625" bestFit="1" customWidth="1"/>
    <col min="5" max="5" width="18.140625" bestFit="1" customWidth="1"/>
    <col min="6" max="6" width="22.28515625" bestFit="1" customWidth="1"/>
  </cols>
  <sheetData>
    <row r="1" spans="1:7" x14ac:dyDescent="0.25">
      <c r="A1" s="1" t="s">
        <v>0</v>
      </c>
      <c r="B1" s="1" t="s">
        <v>1</v>
      </c>
      <c r="C1" s="1" t="s">
        <v>18</v>
      </c>
      <c r="D1" s="1" t="s">
        <v>3</v>
      </c>
      <c r="E1" s="18" t="s">
        <v>19</v>
      </c>
      <c r="F1" s="18" t="s">
        <v>25</v>
      </c>
      <c r="G1" s="18" t="s">
        <v>26</v>
      </c>
    </row>
    <row r="2" spans="1:7" x14ac:dyDescent="0.25">
      <c r="A2" s="1">
        <v>1</v>
      </c>
      <c r="B2" s="1">
        <v>33</v>
      </c>
      <c r="C2" s="1">
        <v>100</v>
      </c>
      <c r="D2" s="1">
        <v>100</v>
      </c>
      <c r="E2" s="19">
        <f>C2*3600*24*365*D2</f>
        <v>315360000000</v>
      </c>
      <c r="F2" s="19">
        <f>(LOG10(E2)/LOG10(B2))</f>
        <v>7.5724076710550667</v>
      </c>
      <c r="G2" s="19">
        <f>ROUNDUP(F2,0)</f>
        <v>8</v>
      </c>
    </row>
    <row r="3" spans="1:7" x14ac:dyDescent="0.25">
      <c r="A3" s="1">
        <v>2</v>
      </c>
      <c r="B3" s="1">
        <v>26</v>
      </c>
      <c r="C3" s="1">
        <v>120</v>
      </c>
      <c r="D3" s="1">
        <v>13</v>
      </c>
      <c r="E3" s="19">
        <f t="shared" ref="E3:E21" si="0">C3*3600*24*365*D3</f>
        <v>49196160000</v>
      </c>
      <c r="F3" s="19">
        <f t="shared" ref="F3:F21" si="1">(LOG10(E3)/LOG10(B3))</f>
        <v>7.5562774525915222</v>
      </c>
      <c r="G3" s="19">
        <f t="shared" ref="G3:G21" si="2">ROUNDUP(F3,0)</f>
        <v>8</v>
      </c>
    </row>
    <row r="4" spans="1:7" x14ac:dyDescent="0.25">
      <c r="A4" s="1">
        <v>3</v>
      </c>
      <c r="B4" s="1">
        <v>52</v>
      </c>
      <c r="C4" s="1">
        <v>60</v>
      </c>
      <c r="D4" s="1">
        <v>30</v>
      </c>
      <c r="E4" s="19">
        <f t="shared" si="0"/>
        <v>56764800000</v>
      </c>
      <c r="F4" s="19">
        <f t="shared" si="1"/>
        <v>6.2669336583340387</v>
      </c>
      <c r="G4" s="19">
        <f t="shared" si="2"/>
        <v>7</v>
      </c>
    </row>
    <row r="5" spans="1:7" x14ac:dyDescent="0.25">
      <c r="A5" s="1">
        <v>4</v>
      </c>
      <c r="B5" s="1">
        <v>66</v>
      </c>
      <c r="C5" s="1">
        <v>70</v>
      </c>
      <c r="D5" s="1">
        <v>20</v>
      </c>
      <c r="E5" s="19">
        <f t="shared" si="0"/>
        <v>44150400000</v>
      </c>
      <c r="F5" s="19">
        <f t="shared" si="1"/>
        <v>5.8503311927136812</v>
      </c>
      <c r="G5" s="19">
        <f t="shared" si="2"/>
        <v>6</v>
      </c>
    </row>
    <row r="6" spans="1:7" x14ac:dyDescent="0.25">
      <c r="A6" s="1">
        <v>5</v>
      </c>
      <c r="B6" s="1">
        <v>59</v>
      </c>
      <c r="C6" s="1">
        <v>50</v>
      </c>
      <c r="D6" s="1">
        <v>200</v>
      </c>
      <c r="E6" s="19">
        <f t="shared" si="0"/>
        <v>315360000000</v>
      </c>
      <c r="F6" s="19">
        <f t="shared" si="1"/>
        <v>6.4933752404710035</v>
      </c>
      <c r="G6" s="19">
        <f t="shared" si="2"/>
        <v>7</v>
      </c>
    </row>
    <row r="7" spans="1:7" x14ac:dyDescent="0.25">
      <c r="A7" s="1">
        <v>6</v>
      </c>
      <c r="B7" s="1">
        <v>118</v>
      </c>
      <c r="C7" s="1">
        <v>90</v>
      </c>
      <c r="D7" s="1">
        <v>50</v>
      </c>
      <c r="E7" s="19">
        <f t="shared" si="0"/>
        <v>141912000000</v>
      </c>
      <c r="F7" s="19">
        <f t="shared" si="1"/>
        <v>5.3825551268774419</v>
      </c>
      <c r="G7" s="19">
        <f t="shared" si="2"/>
        <v>6</v>
      </c>
    </row>
    <row r="8" spans="1:7" x14ac:dyDescent="0.25">
      <c r="A8" s="1">
        <v>7</v>
      </c>
      <c r="B8" s="1">
        <v>128</v>
      </c>
      <c r="C8" s="1">
        <v>100</v>
      </c>
      <c r="D8" s="1">
        <v>500</v>
      </c>
      <c r="E8" s="19">
        <f t="shared" si="0"/>
        <v>1576800000000</v>
      </c>
      <c r="F8" s="19">
        <f t="shared" si="1"/>
        <v>5.7885909743060546</v>
      </c>
      <c r="G8" s="19">
        <f t="shared" si="2"/>
        <v>6</v>
      </c>
    </row>
    <row r="9" spans="1:7" x14ac:dyDescent="0.25">
      <c r="A9" s="1">
        <v>8</v>
      </c>
      <c r="B9" s="1">
        <v>150</v>
      </c>
      <c r="C9" s="1">
        <v>30</v>
      </c>
      <c r="D9" s="1">
        <v>200</v>
      </c>
      <c r="E9" s="19">
        <f t="shared" si="0"/>
        <v>189216000000</v>
      </c>
      <c r="F9" s="19">
        <f t="shared" si="1"/>
        <v>5.1822081497688046</v>
      </c>
      <c r="G9" s="19">
        <f t="shared" si="2"/>
        <v>6</v>
      </c>
    </row>
    <row r="10" spans="1:7" x14ac:dyDescent="0.25">
      <c r="A10" s="1">
        <v>9</v>
      </c>
      <c r="B10" s="1">
        <v>250</v>
      </c>
      <c r="C10" s="1">
        <v>80</v>
      </c>
      <c r="D10" s="1">
        <v>600</v>
      </c>
      <c r="E10" s="19">
        <f t="shared" si="0"/>
        <v>1513728000000</v>
      </c>
      <c r="F10" s="19">
        <f t="shared" si="1"/>
        <v>5.0793797177003528</v>
      </c>
      <c r="G10" s="19">
        <f t="shared" si="2"/>
        <v>6</v>
      </c>
    </row>
    <row r="11" spans="1:7" x14ac:dyDescent="0.25">
      <c r="A11" s="1">
        <v>10</v>
      </c>
      <c r="B11" s="1">
        <v>500</v>
      </c>
      <c r="C11" s="1">
        <v>50</v>
      </c>
      <c r="D11" s="1">
        <v>1000</v>
      </c>
      <c r="E11" s="19">
        <f t="shared" si="0"/>
        <v>1576800000000</v>
      </c>
      <c r="F11" s="19">
        <f t="shared" si="1"/>
        <v>4.5194191086507445</v>
      </c>
      <c r="G11" s="19">
        <f t="shared" si="2"/>
        <v>5</v>
      </c>
    </row>
    <row r="12" spans="1:7" x14ac:dyDescent="0.25">
      <c r="A12" s="1">
        <v>11</v>
      </c>
      <c r="B12" s="1">
        <v>32</v>
      </c>
      <c r="C12" s="1">
        <v>90</v>
      </c>
      <c r="D12" s="1">
        <v>50</v>
      </c>
      <c r="E12" s="19">
        <f t="shared" si="0"/>
        <v>141912000000</v>
      </c>
      <c r="F12" s="19">
        <f t="shared" si="1"/>
        <v>7.4092411263619944</v>
      </c>
      <c r="G12" s="19">
        <f t="shared" si="2"/>
        <v>8</v>
      </c>
    </row>
    <row r="13" spans="1:7" x14ac:dyDescent="0.25">
      <c r="A13" s="1">
        <v>12</v>
      </c>
      <c r="B13" s="1">
        <v>27</v>
      </c>
      <c r="C13" s="1">
        <v>100</v>
      </c>
      <c r="D13" s="1">
        <v>500</v>
      </c>
      <c r="E13" s="19">
        <f t="shared" si="0"/>
        <v>1576800000000</v>
      </c>
      <c r="F13" s="19">
        <f t="shared" si="1"/>
        <v>8.521786646204724</v>
      </c>
      <c r="G13" s="19">
        <f t="shared" si="2"/>
        <v>9</v>
      </c>
    </row>
    <row r="14" spans="1:7" x14ac:dyDescent="0.25">
      <c r="A14" s="1">
        <v>13</v>
      </c>
      <c r="B14" s="1">
        <v>50</v>
      </c>
      <c r="C14" s="1">
        <v>30</v>
      </c>
      <c r="D14" s="1">
        <v>200</v>
      </c>
      <c r="E14" s="19">
        <f t="shared" si="0"/>
        <v>189216000000</v>
      </c>
      <c r="F14" s="19">
        <f t="shared" si="1"/>
        <v>6.6375261649932451</v>
      </c>
      <c r="G14" s="19">
        <f t="shared" si="2"/>
        <v>7</v>
      </c>
    </row>
    <row r="15" spans="1:7" x14ac:dyDescent="0.25">
      <c r="A15" s="1">
        <v>14</v>
      </c>
      <c r="B15" s="1">
        <v>65</v>
      </c>
      <c r="C15" s="1">
        <v>80</v>
      </c>
      <c r="D15" s="1">
        <v>600</v>
      </c>
      <c r="E15" s="19">
        <f t="shared" si="0"/>
        <v>1513728000000</v>
      </c>
      <c r="F15" s="19">
        <f t="shared" si="1"/>
        <v>6.7184941848880806</v>
      </c>
      <c r="G15" s="19">
        <f t="shared" si="2"/>
        <v>7</v>
      </c>
    </row>
    <row r="16" spans="1:7" x14ac:dyDescent="0.25">
      <c r="A16" s="1">
        <v>15</v>
      </c>
      <c r="B16" s="1">
        <v>60</v>
      </c>
      <c r="C16" s="1">
        <v>50</v>
      </c>
      <c r="D16" s="1">
        <v>1000</v>
      </c>
      <c r="E16" s="19">
        <f t="shared" si="0"/>
        <v>1576800000000</v>
      </c>
      <c r="F16" s="19">
        <f t="shared" si="1"/>
        <v>6.8598082467054837</v>
      </c>
      <c r="G16" s="19">
        <f t="shared" si="2"/>
        <v>7</v>
      </c>
    </row>
    <row r="17" spans="1:7" x14ac:dyDescent="0.25">
      <c r="A17" s="1">
        <v>16</v>
      </c>
      <c r="B17" s="1">
        <v>110</v>
      </c>
      <c r="C17" s="1">
        <v>100</v>
      </c>
      <c r="D17" s="1">
        <v>100</v>
      </c>
      <c r="E17" s="19">
        <f t="shared" si="0"/>
        <v>315360000000</v>
      </c>
      <c r="F17" s="19">
        <f t="shared" si="1"/>
        <v>5.6328244391862876</v>
      </c>
      <c r="G17" s="19">
        <f t="shared" si="2"/>
        <v>6</v>
      </c>
    </row>
    <row r="18" spans="1:7" x14ac:dyDescent="0.25">
      <c r="A18" s="1">
        <v>17</v>
      </c>
      <c r="B18" s="1">
        <v>120</v>
      </c>
      <c r="C18" s="1">
        <v>120</v>
      </c>
      <c r="D18" s="1">
        <v>13</v>
      </c>
      <c r="E18" s="19">
        <f t="shared" si="0"/>
        <v>49196160000</v>
      </c>
      <c r="F18" s="19">
        <f t="shared" si="1"/>
        <v>5.1423757431510255</v>
      </c>
      <c r="G18" s="19">
        <f t="shared" si="2"/>
        <v>6</v>
      </c>
    </row>
    <row r="19" spans="1:7" x14ac:dyDescent="0.25">
      <c r="A19" s="1">
        <v>18</v>
      </c>
      <c r="B19" s="1">
        <v>160</v>
      </c>
      <c r="C19" s="1">
        <v>60</v>
      </c>
      <c r="D19" s="1">
        <v>30</v>
      </c>
      <c r="E19" s="19">
        <f t="shared" si="0"/>
        <v>56764800000</v>
      </c>
      <c r="F19" s="19">
        <f t="shared" si="1"/>
        <v>4.8790806293041289</v>
      </c>
      <c r="G19" s="19">
        <f t="shared" si="2"/>
        <v>5</v>
      </c>
    </row>
    <row r="20" spans="1:7" x14ac:dyDescent="0.25">
      <c r="A20" s="1">
        <v>19</v>
      </c>
      <c r="B20" s="1">
        <v>240</v>
      </c>
      <c r="C20" s="1">
        <v>70</v>
      </c>
      <c r="D20" s="1">
        <v>20</v>
      </c>
      <c r="E20" s="19">
        <f t="shared" si="0"/>
        <v>44150400000</v>
      </c>
      <c r="F20" s="19">
        <f t="shared" si="1"/>
        <v>4.4722646696512749</v>
      </c>
      <c r="G20" s="19">
        <f t="shared" si="2"/>
        <v>5</v>
      </c>
    </row>
    <row r="21" spans="1:7" x14ac:dyDescent="0.25">
      <c r="A21" s="1">
        <v>20</v>
      </c>
      <c r="B21" s="1">
        <v>510</v>
      </c>
      <c r="C21" s="1">
        <v>50</v>
      </c>
      <c r="D21" s="1">
        <v>200</v>
      </c>
      <c r="E21" s="19">
        <f t="shared" si="0"/>
        <v>315360000000</v>
      </c>
      <c r="F21" s="19">
        <f t="shared" si="1"/>
        <v>4.246909907800462</v>
      </c>
      <c r="G21" s="19">
        <f t="shared" si="2"/>
        <v>5</v>
      </c>
    </row>
    <row r="23" spans="1:7" x14ac:dyDescent="0.25">
      <c r="A23" s="3" t="s">
        <v>6</v>
      </c>
      <c r="B23" t="s">
        <v>20</v>
      </c>
    </row>
    <row r="24" spans="1:7" x14ac:dyDescent="0.25">
      <c r="A24" t="s">
        <v>23</v>
      </c>
      <c r="B24" t="s">
        <v>24</v>
      </c>
      <c r="E24" s="5"/>
      <c r="F24" s="5"/>
    </row>
    <row r="25" spans="1:7" x14ac:dyDescent="0.25">
      <c r="A25" s="3" t="s">
        <v>21</v>
      </c>
      <c r="B25" t="s">
        <v>22</v>
      </c>
      <c r="F25" s="5"/>
    </row>
    <row r="26" spans="1:7" x14ac:dyDescent="0.25">
      <c r="A26" s="3"/>
    </row>
    <row r="27" spans="1:7" x14ac:dyDescent="0.25">
      <c r="A27" s="3"/>
    </row>
    <row r="28" spans="1:7" x14ac:dyDescent="0.25">
      <c r="A28" s="3"/>
    </row>
    <row r="29" spans="1:7" x14ac:dyDescent="0.25">
      <c r="A29" s="3"/>
    </row>
    <row r="30" spans="1:7" x14ac:dyDescent="0.25">
      <c r="A30" s="3"/>
    </row>
    <row r="31" spans="1:7" x14ac:dyDescent="0.25">
      <c r="A31" s="3"/>
    </row>
    <row r="32" spans="1:7" x14ac:dyDescent="0.25">
      <c r="A32" s="3"/>
    </row>
    <row r="33" spans="1:1" x14ac:dyDescent="0.25">
      <c r="A33" s="3"/>
    </row>
    <row r="34" spans="1:1" x14ac:dyDescent="0.25">
      <c r="A3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2A15E-39A7-4633-B0CE-738AF1C4CCDD}">
  <dimension ref="A1:G30"/>
  <sheetViews>
    <sheetView tabSelected="1" workbookViewId="0">
      <selection activeCell="F31" sqref="F31"/>
    </sheetView>
  </sheetViews>
  <sheetFormatPr defaultRowHeight="15" x14ac:dyDescent="0.25"/>
  <cols>
    <col min="1" max="1" width="19.140625" bestFit="1" customWidth="1"/>
    <col min="5" max="5" width="18.140625" bestFit="1" customWidth="1"/>
    <col min="6" max="6" width="16.140625" bestFit="1" customWidth="1"/>
  </cols>
  <sheetData>
    <row r="1" spans="1:7" x14ac:dyDescent="0.25">
      <c r="A1" s="1" t="s">
        <v>0</v>
      </c>
      <c r="B1" s="1" t="s">
        <v>2</v>
      </c>
      <c r="C1" s="1" t="s">
        <v>18</v>
      </c>
      <c r="D1" s="1" t="s">
        <v>3</v>
      </c>
      <c r="E1" s="18" t="s">
        <v>19</v>
      </c>
      <c r="F1" s="18" t="s">
        <v>29</v>
      </c>
      <c r="G1" s="18" t="s">
        <v>30</v>
      </c>
    </row>
    <row r="2" spans="1:7" x14ac:dyDescent="0.25">
      <c r="A2" s="1">
        <v>1</v>
      </c>
      <c r="B2" s="1">
        <v>5</v>
      </c>
      <c r="C2" s="1">
        <v>100</v>
      </c>
      <c r="D2" s="1">
        <v>100</v>
      </c>
      <c r="E2" s="19">
        <f>C2*60*60*24*365*D2</f>
        <v>315360000000</v>
      </c>
      <c r="F2" s="19">
        <f>E2^(1/B2)</f>
        <v>199.41660643282995</v>
      </c>
      <c r="G2" s="19">
        <f>ROUND(F2,0)</f>
        <v>199</v>
      </c>
    </row>
    <row r="3" spans="1:7" x14ac:dyDescent="0.25">
      <c r="A3" s="1">
        <v>2</v>
      </c>
      <c r="B3" s="1">
        <v>6</v>
      </c>
      <c r="C3" s="1">
        <v>120</v>
      </c>
      <c r="D3" s="1">
        <v>13</v>
      </c>
      <c r="E3" s="19">
        <f t="shared" ref="E3:E21" si="0">C3*60*60*24*365*D3</f>
        <v>49196160000</v>
      </c>
      <c r="F3" s="19">
        <f t="shared" ref="F3:F21" si="1">E3^(1/B3)</f>
        <v>60.532489339332002</v>
      </c>
      <c r="G3" s="19">
        <f t="shared" ref="G3:G21" si="2">ROUND(F3,0)</f>
        <v>61</v>
      </c>
    </row>
    <row r="4" spans="1:7" x14ac:dyDescent="0.25">
      <c r="A4" s="1">
        <v>3</v>
      </c>
      <c r="B4" s="1">
        <v>10</v>
      </c>
      <c r="C4" s="1">
        <v>60</v>
      </c>
      <c r="D4" s="1">
        <v>30</v>
      </c>
      <c r="E4" s="19">
        <f t="shared" si="0"/>
        <v>56764800000</v>
      </c>
      <c r="F4" s="19">
        <f t="shared" si="1"/>
        <v>11.896190528671109</v>
      </c>
      <c r="G4" s="19">
        <f t="shared" si="2"/>
        <v>12</v>
      </c>
    </row>
    <row r="5" spans="1:7" x14ac:dyDescent="0.25">
      <c r="A5" s="1">
        <v>4</v>
      </c>
      <c r="B5" s="1">
        <v>7</v>
      </c>
      <c r="C5" s="1">
        <v>70</v>
      </c>
      <c r="D5" s="1">
        <v>20</v>
      </c>
      <c r="E5" s="19">
        <f t="shared" si="0"/>
        <v>44150400000</v>
      </c>
      <c r="F5" s="19">
        <f t="shared" si="1"/>
        <v>33.16690516193087</v>
      </c>
      <c r="G5" s="19">
        <f t="shared" si="2"/>
        <v>33</v>
      </c>
    </row>
    <row r="6" spans="1:7" x14ac:dyDescent="0.25">
      <c r="A6" s="1">
        <v>5</v>
      </c>
      <c r="B6" s="1">
        <v>9</v>
      </c>
      <c r="C6" s="1">
        <v>50</v>
      </c>
      <c r="D6" s="1">
        <v>200</v>
      </c>
      <c r="E6" s="19">
        <f t="shared" si="0"/>
        <v>315360000000</v>
      </c>
      <c r="F6" s="19">
        <f t="shared" si="1"/>
        <v>18.951569328363647</v>
      </c>
      <c r="G6" s="19">
        <f t="shared" si="2"/>
        <v>19</v>
      </c>
    </row>
    <row r="7" spans="1:7" x14ac:dyDescent="0.25">
      <c r="A7" s="1">
        <v>6</v>
      </c>
      <c r="B7" s="1">
        <v>11</v>
      </c>
      <c r="C7" s="1">
        <v>90</v>
      </c>
      <c r="D7" s="1">
        <v>50</v>
      </c>
      <c r="E7" s="19">
        <f t="shared" si="0"/>
        <v>141912000000</v>
      </c>
      <c r="F7" s="19">
        <f t="shared" si="1"/>
        <v>10.32333260661389</v>
      </c>
      <c r="G7" s="19">
        <f t="shared" si="2"/>
        <v>10</v>
      </c>
    </row>
    <row r="8" spans="1:7" x14ac:dyDescent="0.25">
      <c r="A8" s="1">
        <v>7</v>
      </c>
      <c r="B8" s="1">
        <v>12</v>
      </c>
      <c r="C8" s="1">
        <v>100</v>
      </c>
      <c r="D8" s="1">
        <v>500</v>
      </c>
      <c r="E8" s="19">
        <f t="shared" si="0"/>
        <v>1576800000000</v>
      </c>
      <c r="F8" s="19">
        <f t="shared" si="1"/>
        <v>10.386790792205149</v>
      </c>
      <c r="G8" s="19">
        <f t="shared" si="2"/>
        <v>10</v>
      </c>
    </row>
    <row r="9" spans="1:7" x14ac:dyDescent="0.25">
      <c r="A9" s="1">
        <v>8</v>
      </c>
      <c r="B9" s="1">
        <v>6</v>
      </c>
      <c r="C9" s="1">
        <v>30</v>
      </c>
      <c r="D9" s="1">
        <v>200</v>
      </c>
      <c r="E9" s="19">
        <f t="shared" si="0"/>
        <v>189216000000</v>
      </c>
      <c r="F9" s="19">
        <f t="shared" si="1"/>
        <v>75.769247871882627</v>
      </c>
      <c r="G9" s="19">
        <f t="shared" si="2"/>
        <v>76</v>
      </c>
    </row>
    <row r="10" spans="1:7" x14ac:dyDescent="0.25">
      <c r="A10" s="1">
        <v>9</v>
      </c>
      <c r="B10" s="1">
        <v>8</v>
      </c>
      <c r="C10" s="1">
        <v>80</v>
      </c>
      <c r="D10" s="1">
        <v>600</v>
      </c>
      <c r="E10" s="19">
        <f t="shared" si="0"/>
        <v>1513728000000</v>
      </c>
      <c r="F10" s="19">
        <f t="shared" si="1"/>
        <v>33.304734857217419</v>
      </c>
      <c r="G10" s="19">
        <f t="shared" si="2"/>
        <v>33</v>
      </c>
    </row>
    <row r="11" spans="1:7" x14ac:dyDescent="0.25">
      <c r="A11" s="1">
        <v>10</v>
      </c>
      <c r="B11" s="1">
        <v>50</v>
      </c>
      <c r="C11" s="1">
        <v>50</v>
      </c>
      <c r="D11" s="1">
        <v>1000</v>
      </c>
      <c r="E11" s="19">
        <f t="shared" si="0"/>
        <v>1576800000000</v>
      </c>
      <c r="F11" s="19">
        <f t="shared" si="1"/>
        <v>1.7537009297463781</v>
      </c>
      <c r="G11" s="19">
        <f t="shared" si="2"/>
        <v>2</v>
      </c>
    </row>
    <row r="12" spans="1:7" x14ac:dyDescent="0.25">
      <c r="A12" s="1">
        <v>11</v>
      </c>
      <c r="B12" s="1">
        <v>11</v>
      </c>
      <c r="C12" s="1">
        <v>90</v>
      </c>
      <c r="D12" s="1">
        <v>50</v>
      </c>
      <c r="E12" s="19">
        <f t="shared" si="0"/>
        <v>141912000000</v>
      </c>
      <c r="F12" s="19">
        <f t="shared" si="1"/>
        <v>10.32333260661389</v>
      </c>
      <c r="G12" s="19">
        <f t="shared" si="2"/>
        <v>10</v>
      </c>
    </row>
    <row r="13" spans="1:7" x14ac:dyDescent="0.25">
      <c r="A13" s="1">
        <v>12</v>
      </c>
      <c r="B13" s="1">
        <v>12</v>
      </c>
      <c r="C13" s="1">
        <v>100</v>
      </c>
      <c r="D13" s="1">
        <v>500</v>
      </c>
      <c r="E13" s="19">
        <f t="shared" si="0"/>
        <v>1576800000000</v>
      </c>
      <c r="F13" s="19">
        <f t="shared" si="1"/>
        <v>10.386790792205149</v>
      </c>
      <c r="G13" s="19">
        <f t="shared" si="2"/>
        <v>10</v>
      </c>
    </row>
    <row r="14" spans="1:7" x14ac:dyDescent="0.25">
      <c r="A14" s="1">
        <v>13</v>
      </c>
      <c r="B14" s="1">
        <v>6</v>
      </c>
      <c r="C14" s="1">
        <v>30</v>
      </c>
      <c r="D14" s="1">
        <v>200</v>
      </c>
      <c r="E14" s="19">
        <f t="shared" si="0"/>
        <v>189216000000</v>
      </c>
      <c r="F14" s="19">
        <f t="shared" si="1"/>
        <v>75.769247871882627</v>
      </c>
      <c r="G14" s="19">
        <f t="shared" si="2"/>
        <v>76</v>
      </c>
    </row>
    <row r="15" spans="1:7" x14ac:dyDescent="0.25">
      <c r="A15" s="1">
        <v>14</v>
      </c>
      <c r="B15" s="1">
        <v>8</v>
      </c>
      <c r="C15" s="1">
        <v>80</v>
      </c>
      <c r="D15" s="1">
        <v>600</v>
      </c>
      <c r="E15" s="19">
        <f t="shared" si="0"/>
        <v>1513728000000</v>
      </c>
      <c r="F15" s="19">
        <f t="shared" si="1"/>
        <v>33.304734857217419</v>
      </c>
      <c r="G15" s="19">
        <f t="shared" si="2"/>
        <v>33</v>
      </c>
    </row>
    <row r="16" spans="1:7" x14ac:dyDescent="0.25">
      <c r="A16" s="1">
        <v>15</v>
      </c>
      <c r="B16" s="1">
        <v>50</v>
      </c>
      <c r="C16" s="1">
        <v>50</v>
      </c>
      <c r="D16" s="1">
        <v>1000</v>
      </c>
      <c r="E16" s="19">
        <f t="shared" si="0"/>
        <v>1576800000000</v>
      </c>
      <c r="F16" s="19">
        <f t="shared" si="1"/>
        <v>1.7537009297463781</v>
      </c>
      <c r="G16" s="19">
        <f t="shared" si="2"/>
        <v>2</v>
      </c>
    </row>
    <row r="17" spans="1:7" x14ac:dyDescent="0.25">
      <c r="A17" s="1">
        <v>16</v>
      </c>
      <c r="B17" s="1">
        <v>5</v>
      </c>
      <c r="C17" s="1">
        <v>100</v>
      </c>
      <c r="D17" s="1">
        <v>100</v>
      </c>
      <c r="E17" s="19">
        <f t="shared" si="0"/>
        <v>315360000000</v>
      </c>
      <c r="F17" s="19">
        <f t="shared" si="1"/>
        <v>199.41660643282995</v>
      </c>
      <c r="G17" s="19">
        <f t="shared" si="2"/>
        <v>199</v>
      </c>
    </row>
    <row r="18" spans="1:7" x14ac:dyDescent="0.25">
      <c r="A18" s="1">
        <v>17</v>
      </c>
      <c r="B18" s="1">
        <v>6</v>
      </c>
      <c r="C18" s="1">
        <v>120</v>
      </c>
      <c r="D18" s="1">
        <v>13</v>
      </c>
      <c r="E18" s="19">
        <f t="shared" si="0"/>
        <v>49196160000</v>
      </c>
      <c r="F18" s="19">
        <f t="shared" si="1"/>
        <v>60.532489339332002</v>
      </c>
      <c r="G18" s="19">
        <f t="shared" si="2"/>
        <v>61</v>
      </c>
    </row>
    <row r="19" spans="1:7" x14ac:dyDescent="0.25">
      <c r="A19" s="1">
        <v>18</v>
      </c>
      <c r="B19" s="1">
        <v>10</v>
      </c>
      <c r="C19" s="1">
        <v>60</v>
      </c>
      <c r="D19" s="1">
        <v>30</v>
      </c>
      <c r="E19" s="19">
        <f t="shared" si="0"/>
        <v>56764800000</v>
      </c>
      <c r="F19" s="19">
        <f t="shared" si="1"/>
        <v>11.896190528671109</v>
      </c>
      <c r="G19" s="19">
        <f t="shared" si="2"/>
        <v>12</v>
      </c>
    </row>
    <row r="20" spans="1:7" x14ac:dyDescent="0.25">
      <c r="A20" s="1">
        <v>19</v>
      </c>
      <c r="B20" s="1">
        <v>7</v>
      </c>
      <c r="C20" s="1">
        <v>70</v>
      </c>
      <c r="D20" s="1">
        <v>20</v>
      </c>
      <c r="E20" s="19">
        <f t="shared" si="0"/>
        <v>44150400000</v>
      </c>
      <c r="F20" s="19">
        <f t="shared" si="1"/>
        <v>33.16690516193087</v>
      </c>
      <c r="G20" s="19">
        <f t="shared" si="2"/>
        <v>33</v>
      </c>
    </row>
    <row r="21" spans="1:7" x14ac:dyDescent="0.25">
      <c r="A21" s="1">
        <v>20</v>
      </c>
      <c r="B21" s="1">
        <v>9</v>
      </c>
      <c r="C21" s="1">
        <v>50</v>
      </c>
      <c r="D21" s="1">
        <v>200</v>
      </c>
      <c r="E21" s="19">
        <f t="shared" si="0"/>
        <v>315360000000</v>
      </c>
      <c r="F21" s="19">
        <f t="shared" si="1"/>
        <v>18.951569328363647</v>
      </c>
      <c r="G21" s="19">
        <f t="shared" si="2"/>
        <v>19</v>
      </c>
    </row>
    <row r="23" spans="1:7" x14ac:dyDescent="0.25">
      <c r="A23" s="3" t="s">
        <v>6</v>
      </c>
      <c r="B23" t="s">
        <v>20</v>
      </c>
    </row>
    <row r="24" spans="1:7" x14ac:dyDescent="0.25">
      <c r="A24" s="3" t="s">
        <v>27</v>
      </c>
      <c r="B24" t="s">
        <v>28</v>
      </c>
    </row>
    <row r="25" spans="1:7" x14ac:dyDescent="0.25">
      <c r="A25" s="3"/>
    </row>
    <row r="26" spans="1:7" x14ac:dyDescent="0.25">
      <c r="A26" s="3"/>
    </row>
    <row r="27" spans="1:7" x14ac:dyDescent="0.25">
      <c r="A27" s="3"/>
    </row>
    <row r="28" spans="1:7" x14ac:dyDescent="0.25">
      <c r="A28" s="3"/>
    </row>
    <row r="29" spans="1:7" x14ac:dyDescent="0.25">
      <c r="A29" s="3"/>
    </row>
    <row r="30" spans="1:7" x14ac:dyDescent="0.25">
      <c r="A3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</vt:lpstr>
      <vt:lpstr>задание 2</vt:lpstr>
      <vt:lpstr>задание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Глеб Назаров</cp:lastModifiedBy>
  <dcterms:created xsi:type="dcterms:W3CDTF">2015-06-05T18:19:34Z</dcterms:created>
  <dcterms:modified xsi:type="dcterms:W3CDTF">2025-11-03T12:07:03Z</dcterms:modified>
</cp:coreProperties>
</file>