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NCFU\персональная кибербезопасность\практическое задание 7\"/>
    </mc:Choice>
  </mc:AlternateContent>
  <xr:revisionPtr revIDLastSave="0" documentId="13_ncr:1_{9338952F-B925-402D-BF11-9F8F0A047C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L2" i="1" s="1"/>
  <c r="K3" i="1"/>
  <c r="L3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I21" i="1"/>
  <c r="I20" i="1"/>
  <c r="I14" i="1"/>
  <c r="I13" i="1"/>
  <c r="I7" i="1"/>
  <c r="I6" i="1"/>
  <c r="I23" i="1"/>
  <c r="I24" i="1"/>
  <c r="I22" i="1"/>
  <c r="I16" i="1"/>
  <c r="I17" i="1"/>
  <c r="I18" i="1"/>
  <c r="I19" i="1"/>
  <c r="I15" i="1"/>
  <c r="I9" i="1"/>
  <c r="I10" i="1"/>
  <c r="I11" i="1"/>
  <c r="I12" i="1"/>
  <c r="I8" i="1"/>
  <c r="I3" i="1"/>
  <c r="I4" i="1"/>
  <c r="I5" i="1"/>
  <c r="I2" i="1"/>
  <c r="G10" i="1" l="1"/>
  <c r="G9" i="1"/>
  <c r="G17" i="1"/>
  <c r="G24" i="1"/>
  <c r="G23" i="1"/>
  <c r="G19" i="1"/>
  <c r="G15" i="1"/>
  <c r="G16" i="1"/>
  <c r="G4" i="1"/>
  <c r="G5" i="1"/>
  <c r="G3" i="1"/>
  <c r="G22" i="1"/>
  <c r="G18" i="1"/>
  <c r="G12" i="1"/>
  <c r="G11" i="1"/>
  <c r="G8" i="1"/>
  <c r="G2" i="1"/>
</calcChain>
</file>

<file path=xl/sharedStrings.xml><?xml version="1.0" encoding="utf-8"?>
<sst xmlns="http://schemas.openxmlformats.org/spreadsheetml/2006/main" count="60" uniqueCount="20">
  <si>
    <t>Вариант</t>
  </si>
  <si>
    <t>P</t>
  </si>
  <si>
    <t>V</t>
  </si>
  <si>
    <t>T</t>
  </si>
  <si>
    <t>T, мин</t>
  </si>
  <si>
    <t>паролей/мин</t>
  </si>
  <si>
    <t>паролей/день</t>
  </si>
  <si>
    <t>недели</t>
  </si>
  <si>
    <t>дней</t>
  </si>
  <si>
    <t>месяц</t>
  </si>
  <si>
    <t>неделя</t>
  </si>
  <si>
    <t>T,день</t>
  </si>
  <si>
    <t>S*</t>
  </si>
  <si>
    <t>S*=</t>
  </si>
  <si>
    <t>(V*T)/P</t>
  </si>
  <si>
    <t>S* ≤ A*L</t>
  </si>
  <si>
    <t>L</t>
  </si>
  <si>
    <t>A = 33</t>
  </si>
  <si>
    <t>A</t>
  </si>
  <si>
    <t>L (итог)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</si>
</sst>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2" fontId="0" fillId="2" borderId="1" xfId="0" applyNumberFormat="1" applyFill="1" applyBorder="1"/>
    <xf numFmtId="0" fontId="0" fillId="3" borderId="0" xfId="0" applyFill="1" applyAlignment="1">
      <alignment horizontal="right"/>
    </xf>
    <xf numFmtId="0" fontId="0" fillId="3" borderId="0" xfId="0" applyFill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J30" sqref="J30"/>
    </sheetView>
  </sheetViews>
  <sheetFormatPr defaultRowHeight="15" x14ac:dyDescent="0.25"/>
  <cols>
    <col min="1" max="1" width="8.42578125" bestFit="1" customWidth="1"/>
    <col min="2" max="2" width="10" bestFit="1" customWidth="1"/>
    <col min="3" max="3" width="17.85546875" bestFit="1" customWidth="1"/>
    <col min="4" max="4" width="14.28515625" bestFit="1" customWidth="1"/>
    <col min="9" max="9" width="16.7109375" bestFit="1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/>
      <c r="E1" s="2" t="s">
        <v>3</v>
      </c>
      <c r="F1" s="2"/>
      <c r="G1" s="3" t="s">
        <v>4</v>
      </c>
      <c r="H1" s="3" t="s">
        <v>11</v>
      </c>
      <c r="I1" s="3" t="s">
        <v>12</v>
      </c>
      <c r="J1" s="3" t="s">
        <v>18</v>
      </c>
      <c r="K1" s="3" t="s">
        <v>16</v>
      </c>
      <c r="L1" s="7" t="s">
        <v>19</v>
      </c>
    </row>
    <row r="2" spans="1:12" x14ac:dyDescent="0.25">
      <c r="A2" s="1">
        <v>1</v>
      </c>
      <c r="B2" s="1">
        <v>1E-4</v>
      </c>
      <c r="C2" s="1">
        <v>15</v>
      </c>
      <c r="D2" s="1" t="s">
        <v>5</v>
      </c>
      <c r="E2" s="1">
        <v>2</v>
      </c>
      <c r="F2" s="1" t="s">
        <v>7</v>
      </c>
      <c r="G2" s="3">
        <f>E2*7*24*60</f>
        <v>20160</v>
      </c>
      <c r="H2" s="3"/>
      <c r="I2" s="3">
        <f>(C2*G2)/B2</f>
        <v>3024000000</v>
      </c>
      <c r="J2" s="3">
        <v>33</v>
      </c>
      <c r="K2" s="3">
        <f>LOG(I2,J2)</f>
        <v>6.2433287820799039</v>
      </c>
      <c r="L2" s="7">
        <f>ROUNDUP(K2,0)</f>
        <v>7</v>
      </c>
    </row>
    <row r="3" spans="1:12" x14ac:dyDescent="0.25">
      <c r="A3" s="1">
        <v>2</v>
      </c>
      <c r="B3" s="1">
        <v>1.0000000000000001E-5</v>
      </c>
      <c r="C3" s="1">
        <v>3</v>
      </c>
      <c r="D3" s="1" t="s">
        <v>5</v>
      </c>
      <c r="E3" s="1">
        <v>10</v>
      </c>
      <c r="F3" s="1" t="s">
        <v>8</v>
      </c>
      <c r="G3" s="3">
        <f>E3*24*60</f>
        <v>14400</v>
      </c>
      <c r="H3" s="3"/>
      <c r="I3" s="4">
        <f t="shared" ref="I3:I5" si="0">(C3*G3)/B3</f>
        <v>4320000000</v>
      </c>
      <c r="J3" s="3">
        <v>33</v>
      </c>
      <c r="K3" s="3">
        <f>LOG(I3,J3)</f>
        <v>6.3453376974529174</v>
      </c>
      <c r="L3" s="7">
        <f t="shared" ref="L3:L24" si="1">ROUNDUP(K3,0)</f>
        <v>7</v>
      </c>
    </row>
    <row r="4" spans="1:12" x14ac:dyDescent="0.25">
      <c r="A4" s="1">
        <v>3</v>
      </c>
      <c r="B4" s="1">
        <v>9.9999999999999995E-7</v>
      </c>
      <c r="C4" s="1">
        <v>10</v>
      </c>
      <c r="D4" s="1" t="s">
        <v>5</v>
      </c>
      <c r="E4" s="1">
        <v>5</v>
      </c>
      <c r="F4" s="1" t="s">
        <v>8</v>
      </c>
      <c r="G4" s="3">
        <f t="shared" ref="G4:G6" si="2">E4*24*60</f>
        <v>7200</v>
      </c>
      <c r="H4" s="3"/>
      <c r="I4" s="4">
        <f t="shared" si="0"/>
        <v>72000000000</v>
      </c>
      <c r="J4" s="3">
        <v>33</v>
      </c>
      <c r="K4" s="3">
        <f t="shared" ref="K3:K24" si="3">LOG(I4,J4)</f>
        <v>7.1499722269947483</v>
      </c>
      <c r="L4" s="7">
        <f t="shared" si="1"/>
        <v>8</v>
      </c>
    </row>
    <row r="5" spans="1:12" x14ac:dyDescent="0.25">
      <c r="A5" s="1">
        <v>4</v>
      </c>
      <c r="B5" s="1">
        <v>9.9999999999999995E-8</v>
      </c>
      <c r="C5" s="1">
        <v>11</v>
      </c>
      <c r="D5" s="1" t="s">
        <v>5</v>
      </c>
      <c r="E5" s="1">
        <v>6</v>
      </c>
      <c r="F5" s="1" t="s">
        <v>8</v>
      </c>
      <c r="G5" s="3">
        <f t="shared" si="2"/>
        <v>8640</v>
      </c>
      <c r="H5" s="3"/>
      <c r="I5" s="4">
        <f t="shared" si="0"/>
        <v>950400000000</v>
      </c>
      <c r="J5" s="3">
        <v>33</v>
      </c>
      <c r="K5" s="3">
        <f t="shared" si="3"/>
        <v>7.8879133823429575</v>
      </c>
      <c r="L5" s="7">
        <f t="shared" si="1"/>
        <v>8</v>
      </c>
    </row>
    <row r="6" spans="1:12" x14ac:dyDescent="0.25">
      <c r="A6" s="1">
        <v>5</v>
      </c>
      <c r="B6" s="1">
        <v>1E-4</v>
      </c>
      <c r="C6" s="1">
        <v>100</v>
      </c>
      <c r="D6" s="1" t="s">
        <v>6</v>
      </c>
      <c r="E6" s="1">
        <v>12</v>
      </c>
      <c r="F6" s="1" t="s">
        <v>8</v>
      </c>
      <c r="G6" s="3"/>
      <c r="H6" s="3">
        <v>12</v>
      </c>
      <c r="I6" s="4">
        <f>(C6*H6)/B6</f>
        <v>12000000</v>
      </c>
      <c r="J6" s="3">
        <v>33</v>
      </c>
      <c r="K6" s="3">
        <f t="shared" si="3"/>
        <v>4.6619139015720217</v>
      </c>
      <c r="L6" s="7">
        <f t="shared" si="1"/>
        <v>5</v>
      </c>
    </row>
    <row r="7" spans="1:12" x14ac:dyDescent="0.25">
      <c r="A7" s="1">
        <v>6</v>
      </c>
      <c r="B7" s="1">
        <v>1.0000000000000001E-5</v>
      </c>
      <c r="C7" s="1">
        <v>10</v>
      </c>
      <c r="D7" s="1" t="s">
        <v>6</v>
      </c>
      <c r="E7" s="1">
        <v>1</v>
      </c>
      <c r="F7" s="1" t="s">
        <v>9</v>
      </c>
      <c r="G7" s="3"/>
      <c r="H7" s="3">
        <v>30</v>
      </c>
      <c r="I7" s="4">
        <f>(C7*H7)/B7</f>
        <v>29999999.999999996</v>
      </c>
      <c r="J7" s="3">
        <v>33</v>
      </c>
      <c r="K7" s="3">
        <f t="shared" si="3"/>
        <v>4.9239727462238116</v>
      </c>
      <c r="L7" s="7">
        <f t="shared" si="1"/>
        <v>5</v>
      </c>
    </row>
    <row r="8" spans="1:12" x14ac:dyDescent="0.25">
      <c r="A8" s="1">
        <v>7</v>
      </c>
      <c r="B8" s="1">
        <v>9.9999999999999995E-7</v>
      </c>
      <c r="C8" s="1">
        <v>20</v>
      </c>
      <c r="D8" s="1" t="s">
        <v>5</v>
      </c>
      <c r="E8" s="1">
        <v>3</v>
      </c>
      <c r="F8" s="1" t="s">
        <v>7</v>
      </c>
      <c r="G8" s="3">
        <f>E8*7*24*60</f>
        <v>30240</v>
      </c>
      <c r="H8" s="3"/>
      <c r="I8" s="4">
        <f t="shared" ref="I8:I12" si="4">(C8*G8)/B8</f>
        <v>604800000000</v>
      </c>
      <c r="J8" s="3">
        <v>33</v>
      </c>
      <c r="K8" s="3">
        <f t="shared" si="3"/>
        <v>7.7586457872362882</v>
      </c>
      <c r="L8" s="7">
        <f t="shared" si="1"/>
        <v>8</v>
      </c>
    </row>
    <row r="9" spans="1:12" x14ac:dyDescent="0.25">
      <c r="A9" s="1">
        <v>8</v>
      </c>
      <c r="B9" s="1">
        <v>9.9999999999999995E-8</v>
      </c>
      <c r="C9" s="1">
        <v>15</v>
      </c>
      <c r="D9" s="1" t="s">
        <v>5</v>
      </c>
      <c r="E9" s="1">
        <v>20</v>
      </c>
      <c r="F9" s="1" t="s">
        <v>8</v>
      </c>
      <c r="G9" s="3">
        <f t="shared" ref="G9:G10" si="5">E9*24*60</f>
        <v>28800</v>
      </c>
      <c r="H9" s="3"/>
      <c r="I9" s="4">
        <f t="shared" si="4"/>
        <v>4320000000000</v>
      </c>
      <c r="J9" s="3">
        <v>33</v>
      </c>
      <c r="K9" s="3">
        <f t="shared" si="3"/>
        <v>8.3209534104316525</v>
      </c>
      <c r="L9" s="7">
        <f t="shared" si="1"/>
        <v>9</v>
      </c>
    </row>
    <row r="10" spans="1:12" x14ac:dyDescent="0.25">
      <c r="A10" s="1">
        <v>9</v>
      </c>
      <c r="B10" s="1">
        <v>1E-4</v>
      </c>
      <c r="C10" s="1">
        <v>3</v>
      </c>
      <c r="D10" s="1" t="s">
        <v>5</v>
      </c>
      <c r="E10" s="1">
        <v>15</v>
      </c>
      <c r="F10" s="1" t="s">
        <v>8</v>
      </c>
      <c r="G10" s="3">
        <f t="shared" si="5"/>
        <v>21600</v>
      </c>
      <c r="H10" s="3"/>
      <c r="I10" s="4">
        <f t="shared" si="4"/>
        <v>648000000</v>
      </c>
      <c r="J10" s="3">
        <v>33</v>
      </c>
      <c r="K10" s="3">
        <f t="shared" si="3"/>
        <v>5.8027620125628765</v>
      </c>
      <c r="L10" s="7">
        <f t="shared" si="1"/>
        <v>6</v>
      </c>
    </row>
    <row r="11" spans="1:12" x14ac:dyDescent="0.25">
      <c r="A11" s="1">
        <v>10</v>
      </c>
      <c r="B11" s="1">
        <v>1.0000000000000001E-5</v>
      </c>
      <c r="C11" s="1">
        <v>10</v>
      </c>
      <c r="D11" s="1" t="s">
        <v>5</v>
      </c>
      <c r="E11" s="1">
        <v>1</v>
      </c>
      <c r="F11" s="1" t="s">
        <v>10</v>
      </c>
      <c r="G11" s="3">
        <f>E11*7*24*60</f>
        <v>10080</v>
      </c>
      <c r="H11" s="3"/>
      <c r="I11" s="4">
        <f t="shared" si="4"/>
        <v>10080000000</v>
      </c>
      <c r="J11" s="3">
        <v>33</v>
      </c>
      <c r="K11" s="3">
        <f t="shared" si="3"/>
        <v>6.5876646037993849</v>
      </c>
      <c r="L11" s="7">
        <f t="shared" si="1"/>
        <v>7</v>
      </c>
    </row>
    <row r="12" spans="1:12" x14ac:dyDescent="0.25">
      <c r="A12" s="1">
        <v>11</v>
      </c>
      <c r="B12" s="1">
        <v>9.9999999999999995E-7</v>
      </c>
      <c r="C12" s="1">
        <v>11</v>
      </c>
      <c r="D12" s="1" t="s">
        <v>5</v>
      </c>
      <c r="E12" s="1">
        <v>2</v>
      </c>
      <c r="F12" s="1" t="s">
        <v>7</v>
      </c>
      <c r="G12" s="3">
        <f>E12*7*24*60</f>
        <v>20160</v>
      </c>
      <c r="H12" s="3"/>
      <c r="I12" s="4">
        <f t="shared" si="4"/>
        <v>221760000000</v>
      </c>
      <c r="J12" s="3">
        <v>33</v>
      </c>
      <c r="K12" s="3">
        <f t="shared" si="3"/>
        <v>7.4717017176965133</v>
      </c>
      <c r="L12" s="7">
        <f t="shared" si="1"/>
        <v>8</v>
      </c>
    </row>
    <row r="13" spans="1:12" x14ac:dyDescent="0.25">
      <c r="A13" s="1">
        <v>12</v>
      </c>
      <c r="B13" s="1">
        <v>9.9999999999999995E-8</v>
      </c>
      <c r="C13" s="1">
        <v>100</v>
      </c>
      <c r="D13" s="1" t="s">
        <v>6</v>
      </c>
      <c r="E13" s="1">
        <v>10</v>
      </c>
      <c r="F13" s="1" t="s">
        <v>8</v>
      </c>
      <c r="G13" s="3"/>
      <c r="H13" s="3">
        <v>10</v>
      </c>
      <c r="I13" s="4">
        <f>(C13*H13)/B13</f>
        <v>10000000000</v>
      </c>
      <c r="J13" s="3">
        <v>33</v>
      </c>
      <c r="K13" s="3">
        <f t="shared" si="3"/>
        <v>6.5853857099291151</v>
      </c>
      <c r="L13" s="7">
        <f t="shared" si="1"/>
        <v>7</v>
      </c>
    </row>
    <row r="14" spans="1:12" x14ac:dyDescent="0.25">
      <c r="A14" s="1">
        <v>13</v>
      </c>
      <c r="B14" s="1">
        <v>1E-4</v>
      </c>
      <c r="C14" s="1">
        <v>10</v>
      </c>
      <c r="D14" s="1" t="s">
        <v>6</v>
      </c>
      <c r="E14" s="1">
        <v>5</v>
      </c>
      <c r="F14" s="1" t="s">
        <v>8</v>
      </c>
      <c r="G14" s="3"/>
      <c r="H14" s="3">
        <v>5</v>
      </c>
      <c r="I14" s="4">
        <f>(C14*H14)/B14</f>
        <v>500000</v>
      </c>
      <c r="J14" s="3">
        <v>33</v>
      </c>
      <c r="K14" s="3">
        <f t="shared" si="3"/>
        <v>3.7529915627869084</v>
      </c>
      <c r="L14" s="7">
        <f t="shared" si="1"/>
        <v>4</v>
      </c>
    </row>
    <row r="15" spans="1:12" x14ac:dyDescent="0.25">
      <c r="A15" s="1">
        <v>14</v>
      </c>
      <c r="B15" s="1">
        <v>1.0000000000000001E-5</v>
      </c>
      <c r="C15" s="1">
        <v>20</v>
      </c>
      <c r="D15" s="1" t="s">
        <v>5</v>
      </c>
      <c r="E15" s="1">
        <v>6</v>
      </c>
      <c r="F15" s="1" t="s">
        <v>8</v>
      </c>
      <c r="G15" s="3">
        <f t="shared" ref="G13:G16" si="6">E15*24*60</f>
        <v>8640</v>
      </c>
      <c r="H15" s="3"/>
      <c r="I15" s="4">
        <f t="shared" ref="I15:I19" si="7">(C15*G15)/B15</f>
        <v>17280000000</v>
      </c>
      <c r="J15" s="3">
        <v>33</v>
      </c>
      <c r="K15" s="3">
        <f t="shared" si="3"/>
        <v>6.7418174237940383</v>
      </c>
      <c r="L15" s="7">
        <f t="shared" si="1"/>
        <v>7</v>
      </c>
    </row>
    <row r="16" spans="1:12" x14ac:dyDescent="0.25">
      <c r="A16" s="1">
        <v>15</v>
      </c>
      <c r="B16" s="1">
        <v>9.9999999999999995E-7</v>
      </c>
      <c r="C16" s="1">
        <v>15</v>
      </c>
      <c r="D16" s="1" t="s">
        <v>5</v>
      </c>
      <c r="E16" s="1">
        <v>12</v>
      </c>
      <c r="F16" s="1" t="s">
        <v>8</v>
      </c>
      <c r="G16" s="3">
        <f t="shared" si="6"/>
        <v>17280</v>
      </c>
      <c r="H16" s="3"/>
      <c r="I16" s="4">
        <f t="shared" si="7"/>
        <v>259200000000</v>
      </c>
      <c r="J16" s="3">
        <v>33</v>
      </c>
      <c r="K16" s="3">
        <f t="shared" si="3"/>
        <v>7.5163188808898216</v>
      </c>
      <c r="L16" s="7">
        <f t="shared" si="1"/>
        <v>8</v>
      </c>
    </row>
    <row r="17" spans="1:12" x14ac:dyDescent="0.25">
      <c r="A17" s="1">
        <v>16</v>
      </c>
      <c r="B17" s="1">
        <v>9.9999999999999995E-8</v>
      </c>
      <c r="C17" s="1">
        <v>3</v>
      </c>
      <c r="D17" s="1" t="s">
        <v>5</v>
      </c>
      <c r="E17" s="1">
        <v>1</v>
      </c>
      <c r="F17" s="1" t="s">
        <v>9</v>
      </c>
      <c r="G17" s="3">
        <f>E17*30*24*60</f>
        <v>43200</v>
      </c>
      <c r="H17" s="3"/>
      <c r="I17" s="4">
        <f t="shared" si="7"/>
        <v>1296000000000</v>
      </c>
      <c r="J17" s="3">
        <v>33</v>
      </c>
      <c r="K17" s="3">
        <f t="shared" si="3"/>
        <v>7.9766175887121724</v>
      </c>
      <c r="L17" s="7">
        <f t="shared" si="1"/>
        <v>8</v>
      </c>
    </row>
    <row r="18" spans="1:12" x14ac:dyDescent="0.25">
      <c r="A18" s="1">
        <v>17</v>
      </c>
      <c r="B18" s="1">
        <v>1E-4</v>
      </c>
      <c r="C18" s="1">
        <v>10</v>
      </c>
      <c r="D18" s="1" t="s">
        <v>5</v>
      </c>
      <c r="E18" s="1">
        <v>3</v>
      </c>
      <c r="F18" s="1" t="s">
        <v>7</v>
      </c>
      <c r="G18" s="3">
        <f>E18*7*24*60</f>
        <v>30240</v>
      </c>
      <c r="H18" s="3"/>
      <c r="I18" s="4">
        <f t="shared" si="7"/>
        <v>3024000000</v>
      </c>
      <c r="J18" s="3">
        <v>33</v>
      </c>
      <c r="K18" s="3">
        <f t="shared" si="3"/>
        <v>6.2433287820799039</v>
      </c>
      <c r="L18" s="7">
        <f t="shared" si="1"/>
        <v>7</v>
      </c>
    </row>
    <row r="19" spans="1:12" x14ac:dyDescent="0.25">
      <c r="A19" s="1">
        <v>18</v>
      </c>
      <c r="B19" s="1">
        <v>1.0000000000000001E-5</v>
      </c>
      <c r="C19" s="1">
        <v>11</v>
      </c>
      <c r="D19" s="1" t="s">
        <v>5</v>
      </c>
      <c r="E19" s="1">
        <v>20</v>
      </c>
      <c r="F19" s="1" t="s">
        <v>8</v>
      </c>
      <c r="G19" s="3">
        <f t="shared" ref="G19:G20" si="8">E19*24*60</f>
        <v>28800</v>
      </c>
      <c r="H19" s="3"/>
      <c r="I19" s="4">
        <f t="shared" si="7"/>
        <v>31679999999.999996</v>
      </c>
      <c r="J19" s="3">
        <v>33</v>
      </c>
      <c r="K19" s="3">
        <f t="shared" si="3"/>
        <v>6.9151720620766151</v>
      </c>
      <c r="L19" s="7">
        <f t="shared" si="1"/>
        <v>7</v>
      </c>
    </row>
    <row r="20" spans="1:12" x14ac:dyDescent="0.25">
      <c r="A20" s="1">
        <v>19</v>
      </c>
      <c r="B20" s="1">
        <v>9.9999999999999995E-7</v>
      </c>
      <c r="C20" s="1">
        <v>100</v>
      </c>
      <c r="D20" s="1" t="s">
        <v>6</v>
      </c>
      <c r="E20" s="1">
        <v>15</v>
      </c>
      <c r="F20" s="1" t="s">
        <v>8</v>
      </c>
      <c r="G20" s="3"/>
      <c r="H20" s="3">
        <v>15</v>
      </c>
      <c r="I20" s="4">
        <f>(C20*H20)/B20</f>
        <v>1500000000</v>
      </c>
      <c r="J20" s="3">
        <v>33</v>
      </c>
      <c r="K20" s="3">
        <f t="shared" si="3"/>
        <v>6.0428100250390742</v>
      </c>
      <c r="L20" s="7">
        <f t="shared" si="1"/>
        <v>7</v>
      </c>
    </row>
    <row r="21" spans="1:12" x14ac:dyDescent="0.25">
      <c r="A21" s="1">
        <v>20</v>
      </c>
      <c r="B21" s="1">
        <v>9.9999999999999995E-8</v>
      </c>
      <c r="C21" s="1">
        <v>10</v>
      </c>
      <c r="D21" s="1" t="s">
        <v>6</v>
      </c>
      <c r="E21" s="1">
        <v>1</v>
      </c>
      <c r="F21" s="1" t="s">
        <v>10</v>
      </c>
      <c r="G21" s="3"/>
      <c r="H21" s="3">
        <v>7</v>
      </c>
      <c r="I21" s="4">
        <f>(C21*H21)/B21</f>
        <v>700000000</v>
      </c>
      <c r="J21" s="3">
        <v>33</v>
      </c>
      <c r="K21" s="3">
        <f t="shared" si="3"/>
        <v>5.8248382235631917</v>
      </c>
      <c r="L21" s="7">
        <f t="shared" si="1"/>
        <v>6</v>
      </c>
    </row>
    <row r="22" spans="1:12" x14ac:dyDescent="0.25">
      <c r="A22" s="1">
        <v>21</v>
      </c>
      <c r="B22" s="1">
        <v>1E-4</v>
      </c>
      <c r="C22" s="1">
        <v>20</v>
      </c>
      <c r="D22" s="1" t="s">
        <v>5</v>
      </c>
      <c r="E22" s="1">
        <v>2</v>
      </c>
      <c r="F22" s="1" t="s">
        <v>7</v>
      </c>
      <c r="G22" s="3">
        <f>E22*7*24*60</f>
        <v>20160</v>
      </c>
      <c r="H22" s="3"/>
      <c r="I22" s="4">
        <f t="shared" ref="I22:I24" si="9">(C22*G22)/B22</f>
        <v>4032000000</v>
      </c>
      <c r="J22" s="3">
        <v>33</v>
      </c>
      <c r="K22" s="3">
        <f t="shared" si="3"/>
        <v>6.3256057591475949</v>
      </c>
      <c r="L22" s="7">
        <f t="shared" si="1"/>
        <v>7</v>
      </c>
    </row>
    <row r="23" spans="1:12" x14ac:dyDescent="0.25">
      <c r="A23" s="1">
        <v>22</v>
      </c>
      <c r="B23" s="1">
        <v>1.0000000000000001E-5</v>
      </c>
      <c r="C23" s="1">
        <v>15</v>
      </c>
      <c r="D23" s="1" t="s">
        <v>5</v>
      </c>
      <c r="E23" s="1">
        <v>10</v>
      </c>
      <c r="F23" s="1" t="s">
        <v>8</v>
      </c>
      <c r="G23" s="3">
        <f t="shared" ref="G23:G24" si="10">E23*24*60</f>
        <v>14400</v>
      </c>
      <c r="H23" s="3"/>
      <c r="I23" s="4">
        <f t="shared" si="9"/>
        <v>21600000000</v>
      </c>
      <c r="J23" s="3">
        <v>33</v>
      </c>
      <c r="K23" s="3">
        <f t="shared" si="3"/>
        <v>6.8056364052752683</v>
      </c>
      <c r="L23" s="7">
        <f t="shared" si="1"/>
        <v>7</v>
      </c>
    </row>
    <row r="24" spans="1:12" x14ac:dyDescent="0.25">
      <c r="A24" s="1">
        <v>23</v>
      </c>
      <c r="B24" s="1">
        <v>9.9999999999999995E-7</v>
      </c>
      <c r="C24" s="1">
        <v>3</v>
      </c>
      <c r="D24" s="1" t="s">
        <v>5</v>
      </c>
      <c r="E24" s="1">
        <v>5</v>
      </c>
      <c r="F24" s="1" t="s">
        <v>8</v>
      </c>
      <c r="G24" s="3">
        <f t="shared" si="10"/>
        <v>7200</v>
      </c>
      <c r="H24" s="3"/>
      <c r="I24" s="4">
        <f t="shared" si="9"/>
        <v>21600000000</v>
      </c>
      <c r="J24" s="3">
        <v>33</v>
      </c>
      <c r="K24" s="3">
        <f t="shared" si="3"/>
        <v>6.8056364052752683</v>
      </c>
      <c r="L24" s="7">
        <f t="shared" si="1"/>
        <v>7</v>
      </c>
    </row>
    <row r="27" spans="1:12" x14ac:dyDescent="0.25">
      <c r="A27" s="5" t="s">
        <v>13</v>
      </c>
      <c r="B27" s="6" t="s">
        <v>14</v>
      </c>
    </row>
    <row r="28" spans="1:12" x14ac:dyDescent="0.25">
      <c r="A28" s="6" t="s">
        <v>15</v>
      </c>
      <c r="B28" s="6" t="s">
        <v>17</v>
      </c>
    </row>
  </sheetData>
  <mergeCells count="2"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Назаров</cp:lastModifiedBy>
  <dcterms:created xsi:type="dcterms:W3CDTF">2015-06-05T18:19:34Z</dcterms:created>
  <dcterms:modified xsi:type="dcterms:W3CDTF">2025-11-14T12:36:02Z</dcterms:modified>
</cp:coreProperties>
</file>