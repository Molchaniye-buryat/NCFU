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d6343c08a93d8c/Рабочий стол/"/>
    </mc:Choice>
  </mc:AlternateContent>
  <xr:revisionPtr revIDLastSave="0" documentId="8_{D4DB3AFC-8682-46E6-9BA0-78D7A8E3812E}" xr6:coauthVersionLast="47" xr6:coauthVersionMax="47" xr10:uidLastSave="{00000000-0000-0000-0000-000000000000}"/>
  <bookViews>
    <workbookView xWindow="-120" yWindow="-120" windowWidth="29040" windowHeight="15840" xr2:uid="{B0E7CD20-A31D-4B8B-B65D-8E1D311FC213}"/>
  </bookViews>
  <sheets>
    <sheet name="Лист1" sheetId="1" r:id="rId1"/>
    <sheet name="Лист2" sheetId="2" r:id="rId2"/>
    <sheet name="Лист3" sheetId="3" r:id="rId3"/>
  </sheets>
  <definedNames>
    <definedName name="ABC">Лист2!$1:$1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3" l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7" i="3"/>
  <c r="F6" i="3"/>
  <c r="B3" i="3"/>
  <c r="B10" i="3" s="1"/>
  <c r="B3" i="1"/>
  <c r="B18" i="1" s="1"/>
  <c r="D18" i="1" s="1"/>
  <c r="E18" i="1" s="1" a="1"/>
  <c r="E18" i="1" s="1"/>
  <c r="D10" i="3" l="1"/>
  <c r="E10" i="3" s="1" a="1"/>
  <c r="E10" i="3" s="1"/>
  <c r="C10" i="3"/>
  <c r="B9" i="3"/>
  <c r="B11" i="3"/>
  <c r="B21" i="3"/>
  <c r="B20" i="3"/>
  <c r="B19" i="3"/>
  <c r="B15" i="3"/>
  <c r="B23" i="3"/>
  <c r="B8" i="3"/>
  <c r="B7" i="3"/>
  <c r="D3" i="3"/>
  <c r="B14" i="3"/>
  <c r="B18" i="3"/>
  <c r="B6" i="3"/>
  <c r="B13" i="3"/>
  <c r="B17" i="3"/>
  <c r="B16" i="3"/>
  <c r="B24" i="3"/>
  <c r="B12" i="3"/>
  <c r="B22" i="3"/>
  <c r="B6" i="1"/>
  <c r="B19" i="1"/>
  <c r="C19" i="1" s="1"/>
  <c r="D3" i="1"/>
  <c r="B23" i="1"/>
  <c r="B11" i="1"/>
  <c r="B15" i="1"/>
  <c r="B12" i="1"/>
  <c r="B22" i="1"/>
  <c r="B10" i="1"/>
  <c r="B17" i="1"/>
  <c r="B24" i="1"/>
  <c r="D24" i="1" s="1"/>
  <c r="E24" i="1" s="1" a="1"/>
  <c r="E24" i="1" s="1"/>
  <c r="B21" i="1"/>
  <c r="D21" i="1" s="1"/>
  <c r="B9" i="1"/>
  <c r="D9" i="1" s="1"/>
  <c r="B16" i="1"/>
  <c r="C16" i="1" s="1"/>
  <c r="B14" i="1"/>
  <c r="B13" i="1"/>
  <c r="B20" i="1"/>
  <c r="C20" i="1" s="1"/>
  <c r="B8" i="1"/>
  <c r="C8" i="1" s="1"/>
  <c r="B7" i="1"/>
  <c r="C7" i="1" s="1"/>
  <c r="D20" i="1"/>
  <c r="E20" i="1" s="1" a="1"/>
  <c r="E20" i="1" s="1"/>
  <c r="D8" i="1"/>
  <c r="E8" i="1" s="1" a="1"/>
  <c r="E8" i="1" s="1"/>
  <c r="C12" i="1"/>
  <c r="D7" i="1"/>
  <c r="E7" i="1" s="1" a="1"/>
  <c r="E7" i="1" s="1"/>
  <c r="C18" i="1"/>
  <c r="C24" i="1" l="1"/>
  <c r="D16" i="1"/>
  <c r="E16" i="1" s="1" a="1"/>
  <c r="E16" i="1" s="1"/>
  <c r="D23" i="3"/>
  <c r="E23" i="3" s="1" a="1"/>
  <c r="E23" i="3" s="1"/>
  <c r="C23" i="3"/>
  <c r="D15" i="3"/>
  <c r="E15" i="3" s="1" a="1"/>
  <c r="E15" i="3" s="1"/>
  <c r="C15" i="3"/>
  <c r="C18" i="3"/>
  <c r="D18" i="3"/>
  <c r="E18" i="3" s="1" a="1"/>
  <c r="E18" i="3" s="1"/>
  <c r="D7" i="3"/>
  <c r="E7" i="3" s="1" a="1"/>
  <c r="E7" i="3" s="1"/>
  <c r="C7" i="3"/>
  <c r="D8" i="3"/>
  <c r="E8" i="3" s="1" a="1"/>
  <c r="E8" i="3" s="1"/>
  <c r="C8" i="3"/>
  <c r="C12" i="3"/>
  <c r="D12" i="3"/>
  <c r="E12" i="3" s="1" a="1"/>
  <c r="E12" i="3" s="1"/>
  <c r="C24" i="3"/>
  <c r="D24" i="3"/>
  <c r="E24" i="3" s="1" a="1"/>
  <c r="E24" i="3" s="1"/>
  <c r="D19" i="3"/>
  <c r="E19" i="3" s="1" a="1"/>
  <c r="E19" i="3" s="1"/>
  <c r="C19" i="3"/>
  <c r="D14" i="3"/>
  <c r="E14" i="3" s="1" a="1"/>
  <c r="E14" i="3" s="1"/>
  <c r="C14" i="3"/>
  <c r="D20" i="3"/>
  <c r="E20" i="3" s="1" a="1"/>
  <c r="E20" i="3" s="1"/>
  <c r="C20" i="3"/>
  <c r="D16" i="3"/>
  <c r="E16" i="3" s="1" a="1"/>
  <c r="E16" i="3" s="1"/>
  <c r="C16" i="3"/>
  <c r="C17" i="3"/>
  <c r="D17" i="3"/>
  <c r="E17" i="3" s="1" a="1"/>
  <c r="E17" i="3" s="1"/>
  <c r="D21" i="3"/>
  <c r="E21" i="3" s="1" a="1"/>
  <c r="E21" i="3" s="1"/>
  <c r="C21" i="3"/>
  <c r="D11" i="3"/>
  <c r="E11" i="3" s="1" a="1"/>
  <c r="E11" i="3" s="1"/>
  <c r="C11" i="3"/>
  <c r="D22" i="3"/>
  <c r="E22" i="3" s="1" a="1"/>
  <c r="E22" i="3" s="1"/>
  <c r="C22" i="3"/>
  <c r="C13" i="3"/>
  <c r="D13" i="3"/>
  <c r="E13" i="3" s="1" a="1"/>
  <c r="E13" i="3" s="1"/>
  <c r="C6" i="3"/>
  <c r="D6" i="3"/>
  <c r="E6" i="3" s="1" a="1"/>
  <c r="E6" i="3" s="1"/>
  <c r="D9" i="3"/>
  <c r="E9" i="3" s="1" a="1"/>
  <c r="E9" i="3" s="1"/>
  <c r="C9" i="3"/>
  <c r="D12" i="1"/>
  <c r="E12" i="1" s="1" a="1"/>
  <c r="E12" i="1" s="1"/>
  <c r="C6" i="1"/>
  <c r="D6" i="1"/>
  <c r="E6" i="1" s="1" a="1"/>
  <c r="E6" i="1" s="1"/>
  <c r="F6" i="1" s="1"/>
  <c r="F7" i="1" s="1"/>
  <c r="F8" i="1" s="1"/>
  <c r="D13" i="1"/>
  <c r="E13" i="1" s="1" a="1"/>
  <c r="E13" i="1" s="1"/>
  <c r="C13" i="1"/>
  <c r="D11" i="1"/>
  <c r="E11" i="1" s="1" a="1"/>
  <c r="E11" i="1" s="1"/>
  <c r="C11" i="1"/>
  <c r="D19" i="1"/>
  <c r="E19" i="1" s="1" a="1"/>
  <c r="E19" i="1" s="1"/>
  <c r="C9" i="1"/>
  <c r="E9" i="1" a="1"/>
  <c r="E9" i="1" s="1"/>
  <c r="C21" i="1"/>
  <c r="E21" i="1" a="1"/>
  <c r="E21" i="1" s="1"/>
  <c r="D10" i="1"/>
  <c r="E10" i="1" s="1" a="1"/>
  <c r="E10" i="1" s="1"/>
  <c r="C10" i="1"/>
  <c r="C17" i="1"/>
  <c r="D17" i="1"/>
  <c r="E17" i="1" s="1" a="1"/>
  <c r="E17" i="1" s="1"/>
  <c r="C22" i="1"/>
  <c r="D22" i="1"/>
  <c r="E22" i="1" s="1" a="1"/>
  <c r="E22" i="1" s="1"/>
  <c r="D15" i="1"/>
  <c r="E15" i="1" s="1" a="1"/>
  <c r="E15" i="1" s="1"/>
  <c r="C15" i="1"/>
  <c r="D14" i="1"/>
  <c r="E14" i="1" s="1" a="1"/>
  <c r="E14" i="1" s="1"/>
  <c r="C14" i="1"/>
  <c r="D23" i="1"/>
  <c r="E23" i="1" s="1" a="1"/>
  <c r="E23" i="1" s="1"/>
  <c r="C23" i="1"/>
  <c r="F9" i="1" l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<sst xmlns="http://schemas.openxmlformats.org/spreadsheetml/2006/main" count="42" uniqueCount="42">
  <si>
    <t>а</t>
  </si>
  <si>
    <t>б</t>
  </si>
  <si>
    <t>в</t>
  </si>
  <si>
    <t>г</t>
  </si>
  <si>
    <t>д</t>
  </si>
  <si>
    <t>е</t>
  </si>
  <si>
    <t>ё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</si>
  <si>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</si>
  <si>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</si>
  <si>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</si>
  <si>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</si>
  <si>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</si>
  <si>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</si>
  <si>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</si>
  <si>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</si>
  <si>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</si>
  <si>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</si>
  <si>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</si>
  <si>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</si>
  <si>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</si>
  <si>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</si>
  <si>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</si>
  <si>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</si>
  <si>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</si>
  <si>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</si>
  <si>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</si>
  <si>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</si>
  <si>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</si>
  <si>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</si>
  <si>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</si>
  <si>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</si>
  <si>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</si>
  <si>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</si>
  <si>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.</t>
  </si>
  <si>
    <t>,</t>
  </si>
  <si>
    <t xml:space="preserve"> </t>
  </si>
  <si>
    <t>:</t>
  </si>
  <si>
    <t>"</t>
  </si>
  <si>
    <t>!</t>
  </si>
  <si>
    <t>;</t>
  </si>
  <si>
    <t>супер:длинный!текст</t>
  </si>
  <si>
    <t>хчуифазпмссянвциохц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</si>
</sst>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D856D-A859-485C-9EFF-A1AC64761B50}">
  <dimension ref="A1:F24"/>
  <sheetViews>
    <sheetView tabSelected="1" workbookViewId="0">
      <selection activeCell="F7" sqref="F7"/>
    </sheetView>
  </sheetViews>
  <sheetFormatPr defaultRowHeight="15" x14ac:dyDescent="0.25"/>
  <cols>
    <col min="2" max="2" width="22.7109375" customWidth="1"/>
    <col min="4" max="4" width="19.28515625" customWidth="1"/>
    <col min="6" max="6" width="21.5703125" bestFit="1" customWidth="1"/>
  </cols>
  <sheetData>
    <row r="1" spans="1:6" x14ac:dyDescent="0.25">
      <c r="B1" t="s">
        <v>40</v>
      </c>
    </row>
    <row r="3" spans="1:6" x14ac:dyDescent="0.25">
      <c r="B3" t="str">
        <f>UPPER(B1)</f>
        <v>СУПЕР:ДЛИННЫЙ!ТЕКСТ</v>
      </c>
      <c r="D3">
        <f>LEN(B3)</f>
        <v>19</v>
      </c>
    </row>
    <row r="4" spans="1:6" x14ac:dyDescent="0.25">
      <c r="D4">
        <v>4</v>
      </c>
    </row>
    <row r="6" spans="1:6" x14ac:dyDescent="0.25">
      <c r="A6">
        <v>1</v>
      </c>
      <c r="B6" t="str">
        <f>MID($B$3,A6,1)</f>
        <v>С</v>
      </c>
      <c r="C6">
        <f>MATCH(B6,ABC,0)</f>
        <v>19</v>
      </c>
      <c r="D6">
        <f>IF(MATCH(B6,ABC,0)+$D$4&gt;40,
MATCH(B6,ABC,0)+$D$4-40, MATCH(B6,ABC,0)+$D$4)</f>
        <v>23</v>
      </c>
      <c r="E6" t="str" cm="1">
        <f t="array" ref="E6">INDEX(ABC,D6)</f>
        <v>х</v>
      </c>
      <c r="F6" t="str">
        <f>E6</f>
        <v>х</v>
      </c>
    </row>
    <row r="7" spans="1:6" x14ac:dyDescent="0.25">
      <c r="A7">
        <v>2</v>
      </c>
      <c r="B7" t="str">
        <f t="shared" ref="B7:B24" si="0">MID($B$3,A7,1)</f>
        <v>У</v>
      </c>
      <c r="C7">
        <f>MATCH(B7,ABC,0)</f>
        <v>21</v>
      </c>
      <c r="D7">
        <f>IF(MATCH(B7,ABC,0)+$D$4&gt;40,
MATCH(B7,ABC,0)+$D$4-40, MATCH(B7,ABC,0)+$D$4)</f>
        <v>25</v>
      </c>
      <c r="E7" t="str" cm="1">
        <f t="array" ref="E7">INDEX(ABC,D7)</f>
        <v>ч</v>
      </c>
      <c r="F7" t="str">
        <f>F6&amp;E7</f>
        <v>хч</v>
      </c>
    </row>
    <row r="8" spans="1:6" x14ac:dyDescent="0.25">
      <c r="A8">
        <v>3</v>
      </c>
      <c r="B8" t="str">
        <f t="shared" si="0"/>
        <v>П</v>
      </c>
      <c r="C8">
        <f>MATCH(B8,ABC,0)</f>
        <v>17</v>
      </c>
      <c r="D8">
        <f>IF(MATCH(B8,ABC,0)+$D$4&gt;40,
MATCH(B8,ABC,0)+$D$4-40, MATCH(B8,ABC,0)+$D$4)</f>
        <v>21</v>
      </c>
      <c r="E8" t="str" cm="1">
        <f t="array" ref="E8">INDEX(ABC,D8)</f>
        <v>у</v>
      </c>
      <c r="F8" t="str">
        <f t="shared" ref="F8:F24" si="1">F7&amp;E8</f>
        <v>хчу</v>
      </c>
    </row>
    <row r="9" spans="1:6" x14ac:dyDescent="0.25">
      <c r="A9">
        <v>4</v>
      </c>
      <c r="B9" t="str">
        <f t="shared" si="0"/>
        <v>Е</v>
      </c>
      <c r="C9">
        <f>MATCH(B9,ABC,0)</f>
        <v>6</v>
      </c>
      <c r="D9">
        <f>IF(MATCH(B9,ABC,0)+$D$4&gt;40,
MATCH(B9,ABC,0)+$D$4-40, MATCH(B9,ABC,0)+$D$4)</f>
        <v>10</v>
      </c>
      <c r="E9" t="str" cm="1">
        <f t="array" ref="E9">INDEX(ABC,D9)</f>
        <v>и</v>
      </c>
      <c r="F9" t="str">
        <f t="shared" si="1"/>
        <v>хчуи</v>
      </c>
    </row>
    <row r="10" spans="1:6" x14ac:dyDescent="0.25">
      <c r="A10">
        <v>5</v>
      </c>
      <c r="B10" t="str">
        <f t="shared" si="0"/>
        <v>Р</v>
      </c>
      <c r="C10">
        <f>MATCH(B10,ABC,0)</f>
        <v>18</v>
      </c>
      <c r="D10">
        <f>IF(MATCH(B10,ABC,0)+$D$4&gt;40,
MATCH(B10,ABC,0)+$D$4-40, MATCH(B10,ABC,0)+$D$4)</f>
        <v>22</v>
      </c>
      <c r="E10" t="str" cm="1">
        <f t="array" ref="E10">INDEX(ABC,D10)</f>
        <v>ф</v>
      </c>
      <c r="F10" t="str">
        <f t="shared" si="1"/>
        <v>хчуиф</v>
      </c>
    </row>
    <row r="11" spans="1:6" x14ac:dyDescent="0.25">
      <c r="A11">
        <v>6</v>
      </c>
      <c r="B11" t="str">
        <f t="shared" si="0"/>
        <v>:</v>
      </c>
      <c r="C11">
        <f>MATCH(B11,ABC,0)</f>
        <v>37</v>
      </c>
      <c r="D11">
        <f>IF(MATCH(B11,ABC,0)+$D$4&gt;40,
MATCH(B11,ABC,0)+$D$4-40, MATCH(B11,ABC,0)+$D$4)</f>
        <v>1</v>
      </c>
      <c r="E11" t="str" cm="1">
        <f t="array" ref="E11">INDEX(ABC,D11)</f>
        <v>а</v>
      </c>
      <c r="F11" t="str">
        <f t="shared" si="1"/>
        <v>хчуифа</v>
      </c>
    </row>
    <row r="12" spans="1:6" x14ac:dyDescent="0.25">
      <c r="A12">
        <v>7</v>
      </c>
      <c r="B12" t="str">
        <f t="shared" si="0"/>
        <v>Д</v>
      </c>
      <c r="C12">
        <f>MATCH(B12,ABC,0)</f>
        <v>5</v>
      </c>
      <c r="D12">
        <f>IF(MATCH(B12,ABC,0)+$D$4&gt;40,
MATCH(B12,ABC,0)+$D$4-40, MATCH(B12,ABC,0)+$D$4)</f>
        <v>9</v>
      </c>
      <c r="E12" t="str" cm="1">
        <f t="array" ref="E12">INDEX(ABC,D12)</f>
        <v>з</v>
      </c>
      <c r="F12" t="str">
        <f t="shared" si="1"/>
        <v>хчуифаз</v>
      </c>
    </row>
    <row r="13" spans="1:6" x14ac:dyDescent="0.25">
      <c r="A13">
        <v>8</v>
      </c>
      <c r="B13" t="str">
        <f t="shared" si="0"/>
        <v>Л</v>
      </c>
      <c r="C13">
        <f>MATCH(B13,ABC,0)</f>
        <v>13</v>
      </c>
      <c r="D13">
        <f>IF(MATCH(B13,ABC,0)+$D$4&gt;40,
MATCH(B13,ABC,0)+$D$4-40, MATCH(B13,ABC,0)+$D$4)</f>
        <v>17</v>
      </c>
      <c r="E13" t="str" cm="1">
        <f t="array" ref="E13">INDEX(ABC,D13)</f>
        <v>п</v>
      </c>
      <c r="F13" t="str">
        <f t="shared" si="1"/>
        <v>хчуифазп</v>
      </c>
    </row>
    <row r="14" spans="1:6" x14ac:dyDescent="0.25">
      <c r="A14">
        <v>9</v>
      </c>
      <c r="B14" t="str">
        <f t="shared" si="0"/>
        <v>И</v>
      </c>
      <c r="C14">
        <f>MATCH(B14,ABC,0)</f>
        <v>10</v>
      </c>
      <c r="D14">
        <f>IF(MATCH(B14,ABC,0)+$D$4&gt;40,
MATCH(B14,ABC,0)+$D$4-40, MATCH(B14,ABC,0)+$D$4)</f>
        <v>14</v>
      </c>
      <c r="E14" t="str" cm="1">
        <f t="array" ref="E14">INDEX(ABC,D14)</f>
        <v>м</v>
      </c>
      <c r="F14" t="str">
        <f t="shared" si="1"/>
        <v>хчуифазпм</v>
      </c>
    </row>
    <row r="15" spans="1:6" x14ac:dyDescent="0.25">
      <c r="A15">
        <v>10</v>
      </c>
      <c r="B15" t="str">
        <f t="shared" si="0"/>
        <v>Н</v>
      </c>
      <c r="C15">
        <f>MATCH(B15,ABC,0)</f>
        <v>15</v>
      </c>
      <c r="D15">
        <f>IF(MATCH(B15,ABC,0)+$D$4&gt;40,
MATCH(B15,ABC,0)+$D$4-40, MATCH(B15,ABC,0)+$D$4)</f>
        <v>19</v>
      </c>
      <c r="E15" t="str" cm="1">
        <f t="array" ref="E15">INDEX(ABC,D15)</f>
        <v>с</v>
      </c>
      <c r="F15" t="str">
        <f t="shared" si="1"/>
        <v>хчуифазпмс</v>
      </c>
    </row>
    <row r="16" spans="1:6" x14ac:dyDescent="0.25">
      <c r="A16">
        <v>11</v>
      </c>
      <c r="B16" t="str">
        <f t="shared" si="0"/>
        <v>Н</v>
      </c>
      <c r="C16">
        <f>MATCH(B16,ABC,0)</f>
        <v>15</v>
      </c>
      <c r="D16">
        <f>IF(MATCH(B16,ABC,0)+$D$4&gt;40,
MATCH(B16,ABC,0)+$D$4-40, MATCH(B16,ABC,0)+$D$4)</f>
        <v>19</v>
      </c>
      <c r="E16" t="str" cm="1">
        <f t="array" ref="E16">INDEX(ABC,D16)</f>
        <v>с</v>
      </c>
      <c r="F16" t="str">
        <f t="shared" si="1"/>
        <v>хчуифазпмсс</v>
      </c>
    </row>
    <row r="17" spans="1:6" x14ac:dyDescent="0.25">
      <c r="A17">
        <v>12</v>
      </c>
      <c r="B17" t="str">
        <f t="shared" si="0"/>
        <v>Ы</v>
      </c>
      <c r="C17">
        <f>MATCH(B17,ABC,0)</f>
        <v>29</v>
      </c>
      <c r="D17">
        <f>IF(MATCH(B17,ABC,0)+$D$4&gt;40,
MATCH(B17,ABC,0)+$D$4-40, MATCH(B17,ABC,0)+$D$4)</f>
        <v>33</v>
      </c>
      <c r="E17" t="str" cm="1">
        <f t="array" ref="E17">INDEX(ABC,D17)</f>
        <v>я</v>
      </c>
      <c r="F17" t="str">
        <f t="shared" si="1"/>
        <v>хчуифазпмсся</v>
      </c>
    </row>
    <row r="18" spans="1:6" x14ac:dyDescent="0.25">
      <c r="A18">
        <v>13</v>
      </c>
      <c r="B18" t="str">
        <f t="shared" si="0"/>
        <v>Й</v>
      </c>
      <c r="C18">
        <f>MATCH(B18,ABC,0)</f>
        <v>11</v>
      </c>
      <c r="D18">
        <f>IF(MATCH(B18,ABC,0)+$D$4&gt;40,
MATCH(B18,ABC,0)+$D$4-40, MATCH(B18,ABC,0)+$D$4)</f>
        <v>15</v>
      </c>
      <c r="E18" t="str" cm="1">
        <f t="array" ref="E18">INDEX(ABC,D18)</f>
        <v>н</v>
      </c>
      <c r="F18" t="str">
        <f t="shared" si="1"/>
        <v>хчуифазпмссян</v>
      </c>
    </row>
    <row r="19" spans="1:6" x14ac:dyDescent="0.25">
      <c r="A19">
        <v>14</v>
      </c>
      <c r="B19" t="str">
        <f>MID($B$3,A19,1)</f>
        <v>!</v>
      </c>
      <c r="C19">
        <f>MATCH(B19,ABC,0)</f>
        <v>39</v>
      </c>
      <c r="D19">
        <f>IF(MATCH(B19,ABC,0)+$D$4&gt;40,
MATCH(B19,ABC,0)+$D$4-40, MATCH(B19,ABC,0)+$D$4)</f>
        <v>3</v>
      </c>
      <c r="E19" t="str" cm="1">
        <f t="array" ref="E19">INDEX(ABC,D19)</f>
        <v>в</v>
      </c>
      <c r="F19" t="str">
        <f t="shared" si="1"/>
        <v>хчуифазпмссянв</v>
      </c>
    </row>
    <row r="20" spans="1:6" x14ac:dyDescent="0.25">
      <c r="A20">
        <v>15</v>
      </c>
      <c r="B20" t="str">
        <f t="shared" si="0"/>
        <v>Т</v>
      </c>
      <c r="C20">
        <f>MATCH(B20,ABC,0)</f>
        <v>20</v>
      </c>
      <c r="D20">
        <f>IF(MATCH(B20,ABC,0)+$D$4&gt;40,
MATCH(B20,ABC,0)+$D$4-40, MATCH(B20,ABC,0)+$D$4)</f>
        <v>24</v>
      </c>
      <c r="E20" t="str" cm="1">
        <f t="array" ref="E20">INDEX(ABC,D20)</f>
        <v>ц</v>
      </c>
      <c r="F20" t="str">
        <f t="shared" si="1"/>
        <v>хчуифазпмссянвц</v>
      </c>
    </row>
    <row r="21" spans="1:6" x14ac:dyDescent="0.25">
      <c r="A21">
        <v>16</v>
      </c>
      <c r="B21" t="str">
        <f t="shared" si="0"/>
        <v>Е</v>
      </c>
      <c r="C21">
        <f>MATCH(B21,ABC,0)</f>
        <v>6</v>
      </c>
      <c r="D21">
        <f>IF(MATCH(B21,ABC,0)+$D$4&gt;40,
MATCH(B21,ABC,0)+$D$4-40, MATCH(B21,ABC,0)+$D$4)</f>
        <v>10</v>
      </c>
      <c r="E21" t="str" cm="1">
        <f t="array" ref="E21">INDEX(ABC,D21)</f>
        <v>и</v>
      </c>
      <c r="F21" t="str">
        <f t="shared" si="1"/>
        <v>хчуифазпмссянвци</v>
      </c>
    </row>
    <row r="22" spans="1:6" x14ac:dyDescent="0.25">
      <c r="A22">
        <v>17</v>
      </c>
      <c r="B22" t="str">
        <f t="shared" si="0"/>
        <v>К</v>
      </c>
      <c r="C22">
        <f>MATCH(B22,ABC,0)</f>
        <v>12</v>
      </c>
      <c r="D22">
        <f>IF(MATCH(B22,ABC,0)+$D$4&gt;40,
MATCH(B22,ABC,0)+$D$4-40, MATCH(B22,ABC,0)+$D$4)</f>
        <v>16</v>
      </c>
      <c r="E22" t="str" cm="1">
        <f t="array" ref="E22">INDEX(ABC,D22)</f>
        <v>о</v>
      </c>
      <c r="F22" t="str">
        <f t="shared" si="1"/>
        <v>хчуифазпмссянвцио</v>
      </c>
    </row>
    <row r="23" spans="1:6" x14ac:dyDescent="0.25">
      <c r="A23">
        <v>18</v>
      </c>
      <c r="B23" t="str">
        <f t="shared" si="0"/>
        <v>С</v>
      </c>
      <c r="C23">
        <f>MATCH(B23,ABC,0)</f>
        <v>19</v>
      </c>
      <c r="D23">
        <f>IF(MATCH(B23,ABC,0)+$D$4&gt;40,
MATCH(B23,ABC,0)+$D$4-40, MATCH(B23,ABC,0)+$D$4)</f>
        <v>23</v>
      </c>
      <c r="E23" t="str" cm="1">
        <f t="array" ref="E23">INDEX(ABC,D23)</f>
        <v>х</v>
      </c>
      <c r="F23" t="str">
        <f t="shared" si="1"/>
        <v>хчуифазпмссянвциох</v>
      </c>
    </row>
    <row r="24" spans="1:6" x14ac:dyDescent="0.25">
      <c r="A24">
        <v>19</v>
      </c>
      <c r="B24" t="str">
        <f t="shared" si="0"/>
        <v>Т</v>
      </c>
      <c r="C24">
        <f>MATCH(B24,ABC,0)</f>
        <v>20</v>
      </c>
      <c r="D24">
        <f>IF(MATCH(B24,ABC,0)+$D$4&gt;40,
MATCH(B24,ABC,0)+$D$4-40, MATCH(B24,ABC,0)+$D$4)</f>
        <v>24</v>
      </c>
      <c r="E24" t="str" cm="1">
        <f t="array" ref="E24">INDEX(ABC,D24)</f>
        <v>ц</v>
      </c>
      <c r="F24" t="str">
        <f t="shared" si="1"/>
        <v>хчуифазпмссянвциохц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10B47-96BD-4FE7-9A63-EC33EFF202CF}">
  <dimension ref="A1:AN1"/>
  <sheetViews>
    <sheetView topLeftCell="L1" zoomScale="98" workbookViewId="0">
      <selection activeCell="L1" sqref="A1:XFD1"/>
    </sheetView>
  </sheetViews>
  <sheetFormatPr defaultRowHeight="15" x14ac:dyDescent="0.25"/>
  <sheetData>
    <row r="1" spans="1:40" ht="15.7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42506-AE32-489C-A337-743DDC6F4BC2}">
  <dimension ref="A1:F24"/>
  <sheetViews>
    <sheetView workbookViewId="0">
      <selection activeCell="F24" sqref="F24"/>
    </sheetView>
  </sheetViews>
  <sheetFormatPr defaultRowHeight="15" x14ac:dyDescent="0.25"/>
  <cols>
    <col min="2" max="2" width="25.28515625" customWidth="1"/>
    <col min="4" max="4" width="20" customWidth="1"/>
    <col min="5" max="5" width="12.85546875" customWidth="1"/>
    <col min="6" max="6" width="20.85546875" bestFit="1" customWidth="1"/>
  </cols>
  <sheetData>
    <row r="1" spans="1:6" x14ac:dyDescent="0.25">
      <c r="B1" t="s">
        <v>41</v>
      </c>
    </row>
    <row r="3" spans="1:6" x14ac:dyDescent="0.25">
      <c r="B3" t="str">
        <f>UPPER(B1)</f>
        <v>ХЧУИФАЗПМССЯНВЦИОХЦ</v>
      </c>
      <c r="D3">
        <f>LEN(B3)</f>
        <v>19</v>
      </c>
    </row>
    <row r="4" spans="1:6" x14ac:dyDescent="0.25">
      <c r="D4">
        <v>4</v>
      </c>
    </row>
    <row r="6" spans="1:6" x14ac:dyDescent="0.25">
      <c r="A6">
        <v>1</v>
      </c>
      <c r="B6" t="str">
        <f>MID($B$3,A6,1)</f>
        <v>Х</v>
      </c>
      <c r="C6">
        <f>MATCH(B6,ABC,0)</f>
        <v>23</v>
      </c>
      <c r="D6">
        <f>IF(MATCH(B6,ABC,0)-$D$4&lt;0,MATCH(B6,ABC,0)-
$D$4+40,MATCH(B6,ABC,0)-$D$4)</f>
        <v>19</v>
      </c>
      <c r="E6" t="str" cm="1">
        <f t="array" ref="E6">INDEX(ABC,D6)</f>
        <v>с</v>
      </c>
      <c r="F6" t="str">
        <f>E6</f>
        <v>с</v>
      </c>
    </row>
    <row r="7" spans="1:6" x14ac:dyDescent="0.25">
      <c r="A7">
        <v>2</v>
      </c>
      <c r="B7" t="str">
        <f t="shared" ref="B7:B24" si="0">MID($B$3,A7,1)</f>
        <v>Ч</v>
      </c>
      <c r="C7">
        <f>MATCH(B7,ABC,0)</f>
        <v>25</v>
      </c>
      <c r="D7">
        <f>IF(MATCH(B7,ABC,0)-$D$4&lt;0,MATCH(B7,ABC,0)-
$D$4+40,MATCH(B7,ABC,0)-$D$4)</f>
        <v>21</v>
      </c>
      <c r="E7" t="str" cm="1">
        <f t="array" ref="E7">INDEX(ABC,D7)</f>
        <v>у</v>
      </c>
      <c r="F7" t="str">
        <f>F6&amp;E7</f>
        <v>су</v>
      </c>
    </row>
    <row r="8" spans="1:6" x14ac:dyDescent="0.25">
      <c r="A8">
        <v>3</v>
      </c>
      <c r="B8" t="str">
        <f t="shared" si="0"/>
        <v>У</v>
      </c>
      <c r="C8">
        <f>MATCH(B8,ABC,0)</f>
        <v>21</v>
      </c>
      <c r="D8">
        <f>IF(MATCH(B8,ABC,0)-$D$4&lt;0,MATCH(B8,ABC,0)-
$D$4+40,MATCH(B8,ABC,0)-$D$4)</f>
        <v>17</v>
      </c>
      <c r="E8" t="str" cm="1">
        <f t="array" ref="E8">INDEX(ABC,D8)</f>
        <v>п</v>
      </c>
      <c r="F8" t="str">
        <f t="shared" ref="F8:F24" si="1">F7&amp;E8</f>
        <v>суп</v>
      </c>
    </row>
    <row r="9" spans="1:6" x14ac:dyDescent="0.25">
      <c r="A9">
        <v>4</v>
      </c>
      <c r="B9" t="str">
        <f t="shared" si="0"/>
        <v>И</v>
      </c>
      <c r="C9">
        <f>MATCH(B9,ABC,0)</f>
        <v>10</v>
      </c>
      <c r="D9">
        <f>IF(MATCH(B9,ABC,0)-$D$4&lt;0,MATCH(B9,ABC,0)-
$D$4+40,MATCH(B9,ABC,0)-$D$4)</f>
        <v>6</v>
      </c>
      <c r="E9" t="str" cm="1">
        <f t="array" ref="E9">INDEX(ABC,D9)</f>
        <v>е</v>
      </c>
      <c r="F9" t="str">
        <f t="shared" si="1"/>
        <v>супе</v>
      </c>
    </row>
    <row r="10" spans="1:6" x14ac:dyDescent="0.25">
      <c r="A10">
        <v>5</v>
      </c>
      <c r="B10" t="str">
        <f t="shared" si="0"/>
        <v>Ф</v>
      </c>
      <c r="C10">
        <f>MATCH(B10,ABC,0)</f>
        <v>22</v>
      </c>
      <c r="D10">
        <f>IF(MATCH(B10,ABC,0)-$D$4&lt;0,MATCH(B10,ABC,0)-
$D$4+40,MATCH(B10,ABC,0)-$D$4)</f>
        <v>18</v>
      </c>
      <c r="E10" t="str" cm="1">
        <f t="array" ref="E10">INDEX(ABC,D10)</f>
        <v>р</v>
      </c>
      <c r="F10" t="str">
        <f t="shared" si="1"/>
        <v>супер</v>
      </c>
    </row>
    <row r="11" spans="1:6" x14ac:dyDescent="0.25">
      <c r="A11">
        <v>6</v>
      </c>
      <c r="B11" t="str">
        <f t="shared" si="0"/>
        <v>А</v>
      </c>
      <c r="C11">
        <f>MATCH(B11,ABC,0)</f>
        <v>1</v>
      </c>
      <c r="D11">
        <f>IF(MATCH(B11,ABC,0)-$D$4&lt;0,MATCH(B11,ABC,0)-
$D$4+40,MATCH(B11,ABC,0)-$D$4)</f>
        <v>37</v>
      </c>
      <c r="E11" t="str" cm="1">
        <f t="array" ref="E11">INDEX(ABC,D11)</f>
        <v>:</v>
      </c>
      <c r="F11" t="str">
        <f t="shared" si="1"/>
        <v>супер:</v>
      </c>
    </row>
    <row r="12" spans="1:6" x14ac:dyDescent="0.25">
      <c r="A12">
        <v>7</v>
      </c>
      <c r="B12" t="str">
        <f t="shared" si="0"/>
        <v>З</v>
      </c>
      <c r="C12">
        <f>MATCH(B12,ABC,0)</f>
        <v>9</v>
      </c>
      <c r="D12">
        <f>IF(MATCH(B12,ABC,0)-$D$4&lt;0,MATCH(B12,ABC,0)-
$D$4+40,MATCH(B12,ABC,0)-$D$4)</f>
        <v>5</v>
      </c>
      <c r="E12" t="str" cm="1">
        <f t="array" ref="E12">INDEX(ABC,D12)</f>
        <v>д</v>
      </c>
      <c r="F12" t="str">
        <f t="shared" si="1"/>
        <v>супер:д</v>
      </c>
    </row>
    <row r="13" spans="1:6" x14ac:dyDescent="0.25">
      <c r="A13">
        <v>8</v>
      </c>
      <c r="B13" t="str">
        <f t="shared" si="0"/>
        <v>П</v>
      </c>
      <c r="C13">
        <f>MATCH(B13,ABC,0)</f>
        <v>17</v>
      </c>
      <c r="D13">
        <f>IF(MATCH(B13,ABC,0)-$D$4&lt;0,MATCH(B13,ABC,0)-
$D$4+40,MATCH(B13,ABC,0)-$D$4)</f>
        <v>13</v>
      </c>
      <c r="E13" t="str" cm="1">
        <f t="array" ref="E13">INDEX(ABC,D13)</f>
        <v>л</v>
      </c>
      <c r="F13" t="str">
        <f t="shared" si="1"/>
        <v>супер:дл</v>
      </c>
    </row>
    <row r="14" spans="1:6" x14ac:dyDescent="0.25">
      <c r="A14">
        <v>9</v>
      </c>
      <c r="B14" t="str">
        <f t="shared" si="0"/>
        <v>М</v>
      </c>
      <c r="C14">
        <f>MATCH(B14,ABC,0)</f>
        <v>14</v>
      </c>
      <c r="D14">
        <f>IF(MATCH(B14,ABC,0)-$D$4&lt;0,MATCH(B14,ABC,0)-
$D$4+40,MATCH(B14,ABC,0)-$D$4)</f>
        <v>10</v>
      </c>
      <c r="E14" t="str" cm="1">
        <f t="array" ref="E14">INDEX(ABC,D14)</f>
        <v>и</v>
      </c>
      <c r="F14" t="str">
        <f t="shared" si="1"/>
        <v>супер:дли</v>
      </c>
    </row>
    <row r="15" spans="1:6" x14ac:dyDescent="0.25">
      <c r="A15">
        <v>10</v>
      </c>
      <c r="B15" t="str">
        <f t="shared" si="0"/>
        <v>С</v>
      </c>
      <c r="C15">
        <f>MATCH(B15,ABC,0)</f>
        <v>19</v>
      </c>
      <c r="D15">
        <f>IF(MATCH(B15,ABC,0)-$D$4&lt;0,MATCH(B15,ABC,0)-
$D$4+40,MATCH(B15,ABC,0)-$D$4)</f>
        <v>15</v>
      </c>
      <c r="E15" t="str" cm="1">
        <f t="array" ref="E15">INDEX(ABC,D15)</f>
        <v>н</v>
      </c>
      <c r="F15" t="str">
        <f t="shared" si="1"/>
        <v>супер:длин</v>
      </c>
    </row>
    <row r="16" spans="1:6" x14ac:dyDescent="0.25">
      <c r="A16">
        <v>11</v>
      </c>
      <c r="B16" t="str">
        <f t="shared" si="0"/>
        <v>С</v>
      </c>
      <c r="C16">
        <f>MATCH(B16,ABC,0)</f>
        <v>19</v>
      </c>
      <c r="D16">
        <f>IF(MATCH(B16,ABC,0)-$D$4&lt;0,MATCH(B16,ABC,0)-
$D$4+40,MATCH(B16,ABC,0)-$D$4)</f>
        <v>15</v>
      </c>
      <c r="E16" t="str" cm="1">
        <f t="array" ref="E16">INDEX(ABC,D16)</f>
        <v>н</v>
      </c>
      <c r="F16" t="str">
        <f t="shared" si="1"/>
        <v>супер:длинн</v>
      </c>
    </row>
    <row r="17" spans="1:6" x14ac:dyDescent="0.25">
      <c r="A17">
        <v>12</v>
      </c>
      <c r="B17" t="str">
        <f t="shared" si="0"/>
        <v>Я</v>
      </c>
      <c r="C17">
        <f>MATCH(B17,ABC,0)</f>
        <v>33</v>
      </c>
      <c r="D17">
        <f>IF(MATCH(B17,ABC,0)-$D$4&lt;0,MATCH(B17,ABC,0)-
$D$4+40,MATCH(B17,ABC,0)-$D$4)</f>
        <v>29</v>
      </c>
      <c r="E17" t="str" cm="1">
        <f t="array" ref="E17">INDEX(ABC,D17)</f>
        <v>ы</v>
      </c>
      <c r="F17" t="str">
        <f t="shared" si="1"/>
        <v>супер:длинны</v>
      </c>
    </row>
    <row r="18" spans="1:6" x14ac:dyDescent="0.25">
      <c r="A18">
        <v>13</v>
      </c>
      <c r="B18" t="str">
        <f t="shared" si="0"/>
        <v>Н</v>
      </c>
      <c r="C18">
        <f>MATCH(B18,ABC,0)</f>
        <v>15</v>
      </c>
      <c r="D18">
        <f>IF(MATCH(B18,ABC,0)-$D$4&lt;0,MATCH(B18,ABC,0)-
$D$4+40,MATCH(B18,ABC,0)-$D$4)</f>
        <v>11</v>
      </c>
      <c r="E18" t="str" cm="1">
        <f t="array" ref="E18">INDEX(ABC,D18)</f>
        <v>й</v>
      </c>
      <c r="F18" t="str">
        <f t="shared" si="1"/>
        <v>супер:длинный</v>
      </c>
    </row>
    <row r="19" spans="1:6" x14ac:dyDescent="0.25">
      <c r="A19">
        <v>14</v>
      </c>
      <c r="B19" t="str">
        <f t="shared" si="0"/>
        <v>В</v>
      </c>
      <c r="C19">
        <f>MATCH(B19,ABC,0)</f>
        <v>3</v>
      </c>
      <c r="D19">
        <f>IF(MATCH(B19,ABC,0)-$D$4&lt;0,MATCH(B19,ABC,0)-
$D$4+40,MATCH(B19,ABC,0)-$D$4)</f>
        <v>39</v>
      </c>
      <c r="E19" t="str" cm="1">
        <f t="array" ref="E19">INDEX(ABC,D19)</f>
        <v>!</v>
      </c>
      <c r="F19" t="str">
        <f t="shared" si="1"/>
        <v>супер:длинный!</v>
      </c>
    </row>
    <row r="20" spans="1:6" x14ac:dyDescent="0.25">
      <c r="A20">
        <v>15</v>
      </c>
      <c r="B20" t="str">
        <f t="shared" si="0"/>
        <v>Ц</v>
      </c>
      <c r="C20">
        <f>MATCH(B20,ABC,0)</f>
        <v>24</v>
      </c>
      <c r="D20">
        <f>IF(MATCH(B20,ABC,0)-$D$4&lt;0,MATCH(B20,ABC,0)-
$D$4+40,MATCH(B20,ABC,0)-$D$4)</f>
        <v>20</v>
      </c>
      <c r="E20" t="str" cm="1">
        <f t="array" ref="E20">INDEX(ABC,D20)</f>
        <v>т</v>
      </c>
      <c r="F20" t="str">
        <f t="shared" si="1"/>
        <v>супер:длинный!т</v>
      </c>
    </row>
    <row r="21" spans="1:6" x14ac:dyDescent="0.25">
      <c r="A21">
        <v>16</v>
      </c>
      <c r="B21" t="str">
        <f t="shared" si="0"/>
        <v>И</v>
      </c>
      <c r="C21">
        <f>MATCH(B21,ABC,0)</f>
        <v>10</v>
      </c>
      <c r="D21">
        <f>IF(MATCH(B21,ABC,0)-$D$4&lt;0,MATCH(B21,ABC,0)-
$D$4+40,MATCH(B21,ABC,0)-$D$4)</f>
        <v>6</v>
      </c>
      <c r="E21" t="str" cm="1">
        <f t="array" ref="E21">INDEX(ABC,D21)</f>
        <v>е</v>
      </c>
      <c r="F21" t="str">
        <f t="shared" si="1"/>
        <v>супер:длинный!те</v>
      </c>
    </row>
    <row r="22" spans="1:6" x14ac:dyDescent="0.25">
      <c r="A22">
        <v>17</v>
      </c>
      <c r="B22" t="str">
        <f t="shared" si="0"/>
        <v>О</v>
      </c>
      <c r="C22">
        <f>MATCH(B22,ABC,0)</f>
        <v>16</v>
      </c>
      <c r="D22">
        <f>IF(MATCH(B22,ABC,0)-$D$4&lt;0,MATCH(B22,ABC,0)-
$D$4+40,MATCH(B22,ABC,0)-$D$4)</f>
        <v>12</v>
      </c>
      <c r="E22" t="str" cm="1">
        <f t="array" ref="E22">INDEX(ABC,D22)</f>
        <v>к</v>
      </c>
      <c r="F22" t="str">
        <f t="shared" si="1"/>
        <v>супер:длинный!тек</v>
      </c>
    </row>
    <row r="23" spans="1:6" x14ac:dyDescent="0.25">
      <c r="A23">
        <v>18</v>
      </c>
      <c r="B23" t="str">
        <f t="shared" si="0"/>
        <v>Х</v>
      </c>
      <c r="C23">
        <f>MATCH(B23,ABC,0)</f>
        <v>23</v>
      </c>
      <c r="D23">
        <f>IF(MATCH(B23,ABC,0)-$D$4&lt;0,MATCH(B23,ABC,0)-
$D$4+40,MATCH(B23,ABC,0)-$D$4)</f>
        <v>19</v>
      </c>
      <c r="E23" t="str" cm="1">
        <f t="array" ref="E23">INDEX(ABC,D23)</f>
        <v>с</v>
      </c>
      <c r="F23" t="str">
        <f t="shared" si="1"/>
        <v>супер:длинный!текс</v>
      </c>
    </row>
    <row r="24" spans="1:6" x14ac:dyDescent="0.25">
      <c r="A24">
        <v>19</v>
      </c>
      <c r="B24" t="str">
        <f t="shared" si="0"/>
        <v>Ц</v>
      </c>
      <c r="C24">
        <f>MATCH(B24,ABC,0)</f>
        <v>24</v>
      </c>
      <c r="D24">
        <f>IF(MATCH(B24,ABC,0)-$D$4&lt;0,MATCH(B24,ABC,0)-
$D$4+40,MATCH(B24,ABC,0)-$D$4)</f>
        <v>20</v>
      </c>
      <c r="E24" t="str" cm="1">
        <f t="array" ref="E24">INDEX(ABC,D24)</f>
        <v>т</v>
      </c>
      <c r="F24" t="str">
        <f t="shared" si="1"/>
        <v>супер:длинный!текст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ABC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Глеб Назаров</dc:creator>
  <cp:lastModifiedBy>Глеб Назаров</cp:lastModifiedBy>
  <dcterms:created xsi:type="dcterms:W3CDTF">2025-09-26T09:33:18Z</dcterms:created>
  <dcterms:modified xsi:type="dcterms:W3CDTF">2025-09-26T10:33:46Z</dcterms:modified>
</cp:coreProperties>
</file>