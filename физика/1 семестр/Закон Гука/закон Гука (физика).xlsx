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скуф\физика\"/>
    </mc:Choice>
  </mc:AlternateContent>
  <xr:revisionPtr revIDLastSave="0" documentId="13_ncr:1_{94B2251F-CA55-4E12-9D6C-5CEEA53B6C7E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Лист1" sheetId="1" r:id="rId1"/>
    <sheet name="Лист2" sheetId="2" r:id="rId2"/>
  </sheets>
  <definedNames>
    <definedName name="_xlchart.v1.0" hidden="1">Лист2!$C$27:$C$46</definedName>
    <definedName name="_xlchart.v1.1" hidden="1">Лист2!$F$27:$F$46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2" l="1"/>
  <c r="F35" i="2"/>
  <c r="F38" i="2"/>
  <c r="F39" i="2"/>
  <c r="F43" i="2"/>
  <c r="F27" i="2"/>
  <c r="D27" i="2"/>
  <c r="E28" i="2"/>
  <c r="F28" i="2" s="1"/>
  <c r="E29" i="2"/>
  <c r="F29" i="2" s="1"/>
  <c r="E30" i="2"/>
  <c r="F30" i="2" s="1"/>
  <c r="E31" i="2"/>
  <c r="E32" i="2"/>
  <c r="F32" i="2" s="1"/>
  <c r="E33" i="2"/>
  <c r="F33" i="2" s="1"/>
  <c r="E34" i="2"/>
  <c r="F34" i="2" s="1"/>
  <c r="E35" i="2"/>
  <c r="E36" i="2"/>
  <c r="F36" i="2" s="1"/>
  <c r="E37" i="2"/>
  <c r="F37" i="2" s="1"/>
  <c r="E38" i="2"/>
  <c r="E39" i="2"/>
  <c r="E40" i="2"/>
  <c r="F40" i="2" s="1"/>
  <c r="E41" i="2"/>
  <c r="F41" i="2" s="1"/>
  <c r="E42" i="2"/>
  <c r="F42" i="2" s="1"/>
  <c r="E43" i="2"/>
  <c r="E44" i="2"/>
  <c r="F44" i="2" s="1"/>
  <c r="E45" i="2"/>
  <c r="F45" i="2" s="1"/>
  <c r="E46" i="2"/>
  <c r="F46" i="2" s="1"/>
  <c r="E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27" i="2"/>
  <c r="D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3" i="2"/>
  <c r="E25" i="1"/>
  <c r="E20" i="1"/>
  <c r="F21" i="1"/>
  <c r="F22" i="1"/>
  <c r="F23" i="1"/>
  <c r="F24" i="1"/>
  <c r="F25" i="1"/>
  <c r="F26" i="1"/>
  <c r="F27" i="1"/>
  <c r="F28" i="1"/>
  <c r="F29" i="1"/>
  <c r="F20" i="1"/>
  <c r="D20" i="1"/>
  <c r="E27" i="1" s="1"/>
  <c r="E9" i="1"/>
  <c r="D4" i="1"/>
  <c r="F5" i="1"/>
  <c r="F6" i="1"/>
  <c r="F7" i="1"/>
  <c r="F8" i="1"/>
  <c r="F9" i="1"/>
  <c r="F10" i="1"/>
  <c r="F11" i="1"/>
  <c r="F12" i="1"/>
  <c r="F13" i="1"/>
  <c r="F4" i="1"/>
  <c r="C22" i="1"/>
  <c r="C23" i="1"/>
  <c r="C24" i="1"/>
  <c r="C25" i="1"/>
  <c r="C26" i="1"/>
  <c r="C27" i="1"/>
  <c r="C28" i="1"/>
  <c r="C29" i="1"/>
  <c r="B20" i="1"/>
  <c r="C20" i="1" s="1"/>
  <c r="C6" i="1"/>
  <c r="C7" i="1"/>
  <c r="C8" i="1"/>
  <c r="C9" i="1"/>
  <c r="C10" i="1"/>
  <c r="C11" i="1"/>
  <c r="C12" i="1"/>
  <c r="C13" i="1"/>
  <c r="B4" i="1"/>
  <c r="C4" i="1" s="1"/>
  <c r="E26" i="1" l="1"/>
  <c r="E24" i="1"/>
  <c r="E23" i="1"/>
  <c r="E22" i="1"/>
  <c r="E21" i="1"/>
  <c r="E5" i="1"/>
  <c r="E29" i="1"/>
  <c r="R22" i="1" s="1"/>
  <c r="E28" i="1"/>
  <c r="F13" i="2"/>
  <c r="F4" i="2"/>
  <c r="F15" i="2"/>
  <c r="F14" i="2"/>
  <c r="F12" i="2"/>
  <c r="F3" i="2"/>
  <c r="F11" i="2"/>
  <c r="F22" i="2"/>
  <c r="F10" i="2"/>
  <c r="F21" i="2"/>
  <c r="F9" i="2"/>
  <c r="F20" i="2"/>
  <c r="F8" i="2"/>
  <c r="F19" i="2"/>
  <c r="F7" i="2"/>
  <c r="F18" i="2"/>
  <c r="F6" i="2"/>
  <c r="F17" i="2"/>
  <c r="F5" i="2"/>
  <c r="F16" i="2"/>
  <c r="E13" i="1"/>
  <c r="R5" i="1" s="1"/>
  <c r="E8" i="1"/>
  <c r="E4" i="1"/>
  <c r="E7" i="1"/>
  <c r="E12" i="1"/>
  <c r="E10" i="1"/>
  <c r="E6" i="1"/>
  <c r="E11" i="1"/>
  <c r="B5" i="1"/>
  <c r="C5" i="1" s="1"/>
  <c r="B21" i="1"/>
  <c r="C21" i="1" s="1"/>
</calcChain>
</file>

<file path=xl/sharedStrings.xml><?xml version="1.0" encoding="utf-8"?>
<sst xmlns="http://schemas.openxmlformats.org/spreadsheetml/2006/main" count="30" uniqueCount="14">
  <si>
    <t>широкая пружина</t>
  </si>
  <si>
    <t>№</t>
  </si>
  <si>
    <t>m*10^-3 кг</t>
  </si>
  <si>
    <t>F(g), Н</t>
  </si>
  <si>
    <t>x(0), м</t>
  </si>
  <si>
    <t>l, м</t>
  </si>
  <si>
    <t>тонкая пружина</t>
  </si>
  <si>
    <t>м</t>
  </si>
  <si>
    <t>мм</t>
  </si>
  <si>
    <t>k1=</t>
  </si>
  <si>
    <t>x(1), м</t>
  </si>
  <si>
    <t>нагрузка резиновой ленты</t>
  </si>
  <si>
    <t>m*10^-3, кг</t>
  </si>
  <si>
    <t>k2=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</si>
</sst>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3" borderId="0" xfId="0" applyFill="1" applyAlignment="1">
      <alignment horizontal="right"/>
    </xf>
    <xf numFmtId="0" fontId="0" fillId="3" borderId="0" xfId="0" applyFill="1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График зависимостей веса тела от удлинения пружины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Лист1!$E$4:$E$13</c:f>
              <c:numCache>
                <c:formatCode>General</c:formatCode>
                <c:ptCount val="10"/>
                <c:pt idx="0">
                  <c:v>3.5000000000000031E-2</c:v>
                </c:pt>
                <c:pt idx="1">
                  <c:v>7.0000000000000007E-2</c:v>
                </c:pt>
                <c:pt idx="2">
                  <c:v>0.10000000000000003</c:v>
                </c:pt>
                <c:pt idx="3">
                  <c:v>0.13500000000000001</c:v>
                </c:pt>
                <c:pt idx="4">
                  <c:v>0.17000000000000004</c:v>
                </c:pt>
                <c:pt idx="5">
                  <c:v>0.20500000000000002</c:v>
                </c:pt>
                <c:pt idx="6">
                  <c:v>0.24</c:v>
                </c:pt>
                <c:pt idx="7">
                  <c:v>0.27</c:v>
                </c:pt>
                <c:pt idx="8">
                  <c:v>0.30000000000000004</c:v>
                </c:pt>
                <c:pt idx="9">
                  <c:v>0.33400000000000002</c:v>
                </c:pt>
              </c:numCache>
            </c:numRef>
          </c:cat>
          <c:val>
            <c:numRef>
              <c:f>Лист1!$C$4:$C$13</c:f>
              <c:numCache>
                <c:formatCode>General</c:formatCode>
                <c:ptCount val="10"/>
                <c:pt idx="0">
                  <c:v>9.8000000000000004E-2</c:v>
                </c:pt>
                <c:pt idx="1">
                  <c:v>0.19600000000000001</c:v>
                </c:pt>
                <c:pt idx="2">
                  <c:v>0.29399999999999998</c:v>
                </c:pt>
                <c:pt idx="3">
                  <c:v>0.39200000000000002</c:v>
                </c:pt>
                <c:pt idx="4">
                  <c:v>0.49000000000000005</c:v>
                </c:pt>
                <c:pt idx="5">
                  <c:v>0.58799999999999997</c:v>
                </c:pt>
                <c:pt idx="6">
                  <c:v>0.68600000000000017</c:v>
                </c:pt>
                <c:pt idx="7">
                  <c:v>0.78400000000000003</c:v>
                </c:pt>
                <c:pt idx="8">
                  <c:v>0.88200000000000001</c:v>
                </c:pt>
                <c:pt idx="9">
                  <c:v>0.98000000000000009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69-46A5-A408-F9A4107D1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65412240"/>
        <c:axId val="-765408976"/>
      </c:lineChart>
      <c:catAx>
        <c:axId val="-76541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65408976"/>
        <c:crosses val="autoZero"/>
        <c:auto val="1"/>
        <c:lblAlgn val="ctr"/>
        <c:lblOffset val="100"/>
        <c:noMultiLvlLbl val="0"/>
      </c:catAx>
      <c:valAx>
        <c:axId val="-7654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654122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График зависимостей веса тела от удлинения пружины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Лист1!$E$20:$E$29</c:f>
              <c:numCache>
                <c:formatCode>General</c:formatCode>
                <c:ptCount val="10"/>
                <c:pt idx="0">
                  <c:v>5.0000000000000044E-3</c:v>
                </c:pt>
                <c:pt idx="1">
                  <c:v>1.0000000000000009E-2</c:v>
                </c:pt>
                <c:pt idx="2">
                  <c:v>1.7000000000000015E-2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2.9999999999999971E-2</c:v>
                </c:pt>
                <c:pt idx="6">
                  <c:v>3.7999999999999978E-2</c:v>
                </c:pt>
                <c:pt idx="7">
                  <c:v>4.2999999999999983E-2</c:v>
                </c:pt>
                <c:pt idx="8">
                  <c:v>4.7999999999999987E-2</c:v>
                </c:pt>
                <c:pt idx="9">
                  <c:v>5.3999999999999992E-2</c:v>
                </c:pt>
              </c:numCache>
            </c:numRef>
          </c:cat>
          <c:val>
            <c:numRef>
              <c:f>Лист1!$C$20:$C$29</c:f>
              <c:numCache>
                <c:formatCode>General</c:formatCode>
                <c:ptCount val="10"/>
                <c:pt idx="0">
                  <c:v>9.8000000000000004E-2</c:v>
                </c:pt>
                <c:pt idx="1">
                  <c:v>0.19600000000000001</c:v>
                </c:pt>
                <c:pt idx="2">
                  <c:v>0.29399999999999998</c:v>
                </c:pt>
                <c:pt idx="3">
                  <c:v>0.39200000000000002</c:v>
                </c:pt>
                <c:pt idx="4">
                  <c:v>0.49000000000000005</c:v>
                </c:pt>
                <c:pt idx="5">
                  <c:v>0.58799999999999997</c:v>
                </c:pt>
                <c:pt idx="6">
                  <c:v>0.68600000000000017</c:v>
                </c:pt>
                <c:pt idx="7">
                  <c:v>0.78400000000000003</c:v>
                </c:pt>
                <c:pt idx="8">
                  <c:v>0.88200000000000001</c:v>
                </c:pt>
                <c:pt idx="9">
                  <c:v>0.98000000000000009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27-440A-8A89-CD3C43253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65407888"/>
        <c:axId val="-765406800"/>
      </c:lineChart>
      <c:catAx>
        <c:axId val="-76540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65406800"/>
        <c:crosses val="autoZero"/>
        <c:auto val="1"/>
        <c:lblAlgn val="ctr"/>
        <c:lblOffset val="100"/>
        <c:noMultiLvlLbl val="0"/>
      </c:catAx>
      <c:valAx>
        <c:axId val="-76540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6540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График зависимостей веса тела от удлинения резиновой ленты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Лист2!$F$6:$F$22</c:f>
              <c:numCache>
                <c:formatCode>General</c:formatCode>
                <c:ptCount val="17"/>
                <c:pt idx="0">
                  <c:v>2.0000000000000018E-2</c:v>
                </c:pt>
                <c:pt idx="1">
                  <c:v>3.0000000000000027E-2</c:v>
                </c:pt>
                <c:pt idx="2">
                  <c:v>3.999999999999998E-2</c:v>
                </c:pt>
                <c:pt idx="3">
                  <c:v>4.9999999999999989E-2</c:v>
                </c:pt>
                <c:pt idx="4">
                  <c:v>0.06</c:v>
                </c:pt>
                <c:pt idx="5">
                  <c:v>7.5000000000000011E-2</c:v>
                </c:pt>
                <c:pt idx="6">
                  <c:v>9.0000000000000024E-2</c:v>
                </c:pt>
                <c:pt idx="7">
                  <c:v>0.10999999999999999</c:v>
                </c:pt>
                <c:pt idx="8">
                  <c:v>0.13500000000000001</c:v>
                </c:pt>
                <c:pt idx="9">
                  <c:v>0.15500000000000003</c:v>
                </c:pt>
                <c:pt idx="10">
                  <c:v>0.17499999999999999</c:v>
                </c:pt>
                <c:pt idx="11">
                  <c:v>0.19500000000000001</c:v>
                </c:pt>
                <c:pt idx="12">
                  <c:v>0.20500000000000002</c:v>
                </c:pt>
                <c:pt idx="13">
                  <c:v>0.21000000000000002</c:v>
                </c:pt>
                <c:pt idx="14">
                  <c:v>0.22999999999999998</c:v>
                </c:pt>
                <c:pt idx="15">
                  <c:v>0.248</c:v>
                </c:pt>
                <c:pt idx="16">
                  <c:v>0.26800000000000002</c:v>
                </c:pt>
              </c:numCache>
            </c:numRef>
          </c:xVal>
          <c:yVal>
            <c:numRef>
              <c:f>Лист2!$C$6:$C$22</c:f>
              <c:numCache>
                <c:formatCode>General</c:formatCode>
                <c:ptCount val="17"/>
                <c:pt idx="0">
                  <c:v>0.39200000000000002</c:v>
                </c:pt>
                <c:pt idx="1">
                  <c:v>0.49000000000000005</c:v>
                </c:pt>
                <c:pt idx="2">
                  <c:v>0.58799999999999997</c:v>
                </c:pt>
                <c:pt idx="3">
                  <c:v>0.68600000000000017</c:v>
                </c:pt>
                <c:pt idx="4">
                  <c:v>0.78400000000000003</c:v>
                </c:pt>
                <c:pt idx="5">
                  <c:v>0.88200000000000001</c:v>
                </c:pt>
                <c:pt idx="6">
                  <c:v>0.98000000000000009</c:v>
                </c:pt>
                <c:pt idx="7">
                  <c:v>1.0780000000000001</c:v>
                </c:pt>
                <c:pt idx="8">
                  <c:v>1.1759999999999999</c:v>
                </c:pt>
                <c:pt idx="9">
                  <c:v>1.2740000000000002</c:v>
                </c:pt>
                <c:pt idx="10">
                  <c:v>1.3720000000000003</c:v>
                </c:pt>
                <c:pt idx="11">
                  <c:v>1.47</c:v>
                </c:pt>
                <c:pt idx="12">
                  <c:v>1.5680000000000001</c:v>
                </c:pt>
                <c:pt idx="13">
                  <c:v>1.6660000000000001</c:v>
                </c:pt>
                <c:pt idx="14">
                  <c:v>1.764</c:v>
                </c:pt>
                <c:pt idx="15">
                  <c:v>1.8620000000000001</c:v>
                </c:pt>
                <c:pt idx="16">
                  <c:v>1.9600000000000002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6A-4B94-B9CC-E5D7631E0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65403536"/>
        <c:axId val="-765411696"/>
      </c:scatterChart>
      <c:valAx>
        <c:axId val="-76540353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65411696"/>
        <c:crosses val="autoZero"/>
        <c:crossBetween val="midCat"/>
      </c:valAx>
      <c:valAx>
        <c:axId val="-7654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6540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зависимостей веса тела от удлинения резиновой ленты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Лист2!$F$27:$F$43</c:f>
              <c:numCache>
                <c:formatCode>General</c:formatCode>
                <c:ptCount val="17"/>
                <c:pt idx="0">
                  <c:v>1.0000000000000009E-2</c:v>
                </c:pt>
                <c:pt idx="1">
                  <c:v>2.0000000000000018E-2</c:v>
                </c:pt>
                <c:pt idx="2">
                  <c:v>3.3000000000000029E-2</c:v>
                </c:pt>
                <c:pt idx="3">
                  <c:v>4.7999999999999987E-2</c:v>
                </c:pt>
                <c:pt idx="4">
                  <c:v>6.3E-2</c:v>
                </c:pt>
                <c:pt idx="5">
                  <c:v>8.3000000000000018E-2</c:v>
                </c:pt>
                <c:pt idx="6">
                  <c:v>9.8000000000000032E-2</c:v>
                </c:pt>
                <c:pt idx="7">
                  <c:v>0.11799999999999999</c:v>
                </c:pt>
                <c:pt idx="8">
                  <c:v>0.13300000000000001</c:v>
                </c:pt>
                <c:pt idx="9">
                  <c:v>0.14800000000000002</c:v>
                </c:pt>
                <c:pt idx="10">
                  <c:v>0.16800000000000004</c:v>
                </c:pt>
                <c:pt idx="11">
                  <c:v>0.183</c:v>
                </c:pt>
                <c:pt idx="12">
                  <c:v>0.19800000000000001</c:v>
                </c:pt>
                <c:pt idx="13">
                  <c:v>0.20800000000000002</c:v>
                </c:pt>
                <c:pt idx="14">
                  <c:v>0.22300000000000003</c:v>
                </c:pt>
                <c:pt idx="15">
                  <c:v>0.23299999999999998</c:v>
                </c:pt>
                <c:pt idx="16">
                  <c:v>0.24299999999999999</c:v>
                </c:pt>
              </c:numCache>
            </c:numRef>
          </c:xVal>
          <c:yVal>
            <c:numRef>
              <c:f>Лист2!$C$27:$C$43</c:f>
              <c:numCache>
                <c:formatCode>General</c:formatCode>
                <c:ptCount val="17"/>
                <c:pt idx="0">
                  <c:v>1.9600000000000002</c:v>
                </c:pt>
                <c:pt idx="1">
                  <c:v>1.8620000000000001</c:v>
                </c:pt>
                <c:pt idx="2">
                  <c:v>1.764</c:v>
                </c:pt>
                <c:pt idx="3">
                  <c:v>1.6660000000000001</c:v>
                </c:pt>
                <c:pt idx="4">
                  <c:v>1.5680000000000001</c:v>
                </c:pt>
                <c:pt idx="5">
                  <c:v>1.47</c:v>
                </c:pt>
                <c:pt idx="6">
                  <c:v>1.3720000000000003</c:v>
                </c:pt>
                <c:pt idx="7">
                  <c:v>1.2740000000000002</c:v>
                </c:pt>
                <c:pt idx="8">
                  <c:v>1.1759999999999999</c:v>
                </c:pt>
                <c:pt idx="9">
                  <c:v>1.0780000000000001</c:v>
                </c:pt>
                <c:pt idx="10">
                  <c:v>0.98000000000000009</c:v>
                </c:pt>
                <c:pt idx="11">
                  <c:v>0.88200000000000001</c:v>
                </c:pt>
                <c:pt idx="12">
                  <c:v>0.78400000000000003</c:v>
                </c:pt>
                <c:pt idx="13">
                  <c:v>0.68600000000000017</c:v>
                </c:pt>
                <c:pt idx="14">
                  <c:v>0.58799999999999997</c:v>
                </c:pt>
                <c:pt idx="15">
                  <c:v>0.49000000000000005</c:v>
                </c:pt>
                <c:pt idx="16">
                  <c:v>0.39200000000000002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28-4C21-8473-EF2864F3F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65416592"/>
        <c:axId val="-765409520"/>
      </c:scatterChart>
      <c:valAx>
        <c:axId val="-7654165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65409520"/>
        <c:crosses val="autoZero"/>
        <c:crossBetween val="midCat"/>
      </c:valAx>
      <c:valAx>
        <c:axId val="-76540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76541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61912</xdr:rowOff>
    </xdr:from>
    <xdr:to>
      <xdr:col>15</xdr:col>
      <xdr:colOff>304800</xdr:colOff>
      <xdr:row>14</xdr:row>
      <xdr:rowOff>138112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DD4E401-3125-0EC4-ADE2-162E8619F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18</xdr:row>
      <xdr:rowOff>29935</xdr:rowOff>
    </xdr:from>
    <xdr:to>
      <xdr:col>15</xdr:col>
      <xdr:colOff>317500</xdr:colOff>
      <xdr:row>32</xdr:row>
      <xdr:rowOff>106135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6944D4D-19CA-3B8D-A447-8F65C85BF3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57149</xdr:rowOff>
    </xdr:from>
    <xdr:to>
      <xdr:col>15</xdr:col>
      <xdr:colOff>317500</xdr:colOff>
      <xdr:row>17</xdr:row>
      <xdr:rowOff>133349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C04B53D-7A81-AE19-8C6F-4CCA6ED64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2189</xdr:colOff>
      <xdr:row>27</xdr:row>
      <xdr:rowOff>7883</xdr:rowOff>
    </xdr:from>
    <xdr:to>
      <xdr:col>15</xdr:col>
      <xdr:colOff>282465</xdr:colOff>
      <xdr:row>41</xdr:row>
      <xdr:rowOff>145394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56A1999-1575-C5EC-B17E-47F6B6B06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zoomScale="105" workbookViewId="0">
      <selection activeCell="R23" sqref="R23"/>
    </sheetView>
  </sheetViews>
  <sheetFormatPr defaultRowHeight="14.4" x14ac:dyDescent="0.3"/>
  <cols>
    <col min="2" max="2" width="12.44140625" customWidth="1"/>
  </cols>
  <sheetData>
    <row r="1" spans="1:18" x14ac:dyDescent="0.3">
      <c r="A1" s="5" t="s">
        <v>0</v>
      </c>
      <c r="B1" s="5"/>
    </row>
    <row r="3" spans="1:18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7</v>
      </c>
      <c r="G3" t="s">
        <v>8</v>
      </c>
    </row>
    <row r="4" spans="1:18" x14ac:dyDescent="0.3">
      <c r="A4" s="1">
        <v>1</v>
      </c>
      <c r="B4" s="1">
        <f>10/(1000)</f>
        <v>0.01</v>
      </c>
      <c r="C4" s="1">
        <f>B4*9.8</f>
        <v>9.8000000000000004E-2</v>
      </c>
      <c r="D4" s="6">
        <f>520/1000</f>
        <v>0.52</v>
      </c>
      <c r="E4" s="1">
        <f>$D$4-F4</f>
        <v>3.5000000000000031E-2</v>
      </c>
      <c r="F4">
        <f>G4/1000</f>
        <v>0.48499999999999999</v>
      </c>
      <c r="G4">
        <v>485</v>
      </c>
    </row>
    <row r="5" spans="1:18" x14ac:dyDescent="0.3">
      <c r="A5" s="1">
        <v>2</v>
      </c>
      <c r="B5" s="1">
        <f>2*B4</f>
        <v>0.02</v>
      </c>
      <c r="C5" s="1">
        <f t="shared" ref="C5:C13" si="0">B5*9.8</f>
        <v>0.19600000000000001</v>
      </c>
      <c r="D5" s="6"/>
      <c r="E5" s="1">
        <f t="shared" ref="E5:E13" si="1">$D$4-F5</f>
        <v>7.0000000000000007E-2</v>
      </c>
      <c r="F5">
        <f t="shared" ref="F5:F13" si="2">G5/1000</f>
        <v>0.45</v>
      </c>
      <c r="G5">
        <v>450</v>
      </c>
      <c r="Q5" s="3" t="s">
        <v>9</v>
      </c>
      <c r="R5" s="4">
        <f>(C13-C4)/(E13-E4)</f>
        <v>2.9498327759197331</v>
      </c>
    </row>
    <row r="6" spans="1:18" x14ac:dyDescent="0.3">
      <c r="A6" s="1">
        <v>3</v>
      </c>
      <c r="B6" s="1">
        <v>0.03</v>
      </c>
      <c r="C6" s="1">
        <f t="shared" si="0"/>
        <v>0.29399999999999998</v>
      </c>
      <c r="D6" s="6"/>
      <c r="E6" s="1">
        <f t="shared" si="1"/>
        <v>0.10000000000000003</v>
      </c>
      <c r="F6">
        <f t="shared" si="2"/>
        <v>0.42</v>
      </c>
      <c r="G6">
        <v>420</v>
      </c>
    </row>
    <row r="7" spans="1:18" x14ac:dyDescent="0.3">
      <c r="A7" s="1">
        <v>4</v>
      </c>
      <c r="B7" s="1">
        <v>0.04</v>
      </c>
      <c r="C7" s="1">
        <f t="shared" si="0"/>
        <v>0.39200000000000002</v>
      </c>
      <c r="D7" s="6"/>
      <c r="E7" s="1">
        <f t="shared" si="1"/>
        <v>0.13500000000000001</v>
      </c>
      <c r="F7">
        <f t="shared" si="2"/>
        <v>0.38500000000000001</v>
      </c>
      <c r="G7">
        <v>385</v>
      </c>
    </row>
    <row r="8" spans="1:18" x14ac:dyDescent="0.3">
      <c r="A8" s="1">
        <v>5</v>
      </c>
      <c r="B8" s="1">
        <v>0.05</v>
      </c>
      <c r="C8" s="1">
        <f t="shared" si="0"/>
        <v>0.49000000000000005</v>
      </c>
      <c r="D8" s="6"/>
      <c r="E8" s="1">
        <f t="shared" si="1"/>
        <v>0.17000000000000004</v>
      </c>
      <c r="F8">
        <f t="shared" si="2"/>
        <v>0.35</v>
      </c>
      <c r="G8">
        <v>350</v>
      </c>
    </row>
    <row r="9" spans="1:18" x14ac:dyDescent="0.3">
      <c r="A9" s="1">
        <v>6</v>
      </c>
      <c r="B9" s="1">
        <v>0.06</v>
      </c>
      <c r="C9" s="1">
        <f t="shared" si="0"/>
        <v>0.58799999999999997</v>
      </c>
      <c r="D9" s="6"/>
      <c r="E9" s="1">
        <f>$D$4-F9</f>
        <v>0.20500000000000002</v>
      </c>
      <c r="F9">
        <f t="shared" si="2"/>
        <v>0.315</v>
      </c>
      <c r="G9">
        <v>315</v>
      </c>
    </row>
    <row r="10" spans="1:18" x14ac:dyDescent="0.3">
      <c r="A10" s="1">
        <v>7</v>
      </c>
      <c r="B10" s="1">
        <v>7.0000000000000007E-2</v>
      </c>
      <c r="C10" s="1">
        <f t="shared" si="0"/>
        <v>0.68600000000000017</v>
      </c>
      <c r="D10" s="6"/>
      <c r="E10" s="1">
        <f t="shared" si="1"/>
        <v>0.24</v>
      </c>
      <c r="F10">
        <f t="shared" si="2"/>
        <v>0.28000000000000003</v>
      </c>
      <c r="G10">
        <v>280</v>
      </c>
    </row>
    <row r="11" spans="1:18" x14ac:dyDescent="0.3">
      <c r="A11" s="1">
        <v>8</v>
      </c>
      <c r="B11" s="1">
        <v>0.08</v>
      </c>
      <c r="C11" s="1">
        <f t="shared" si="0"/>
        <v>0.78400000000000003</v>
      </c>
      <c r="D11" s="6"/>
      <c r="E11" s="1">
        <f t="shared" si="1"/>
        <v>0.27</v>
      </c>
      <c r="F11">
        <f t="shared" si="2"/>
        <v>0.25</v>
      </c>
      <c r="G11">
        <v>250</v>
      </c>
    </row>
    <row r="12" spans="1:18" x14ac:dyDescent="0.3">
      <c r="A12" s="1">
        <v>9</v>
      </c>
      <c r="B12" s="1">
        <v>0.09</v>
      </c>
      <c r="C12" s="1">
        <f t="shared" si="0"/>
        <v>0.88200000000000001</v>
      </c>
      <c r="D12" s="6"/>
      <c r="E12" s="1">
        <f t="shared" si="1"/>
        <v>0.30000000000000004</v>
      </c>
      <c r="F12">
        <f t="shared" si="2"/>
        <v>0.22</v>
      </c>
      <c r="G12">
        <v>220</v>
      </c>
    </row>
    <row r="13" spans="1:18" x14ac:dyDescent="0.3">
      <c r="A13" s="1">
        <v>10</v>
      </c>
      <c r="B13" s="1">
        <v>0.1</v>
      </c>
      <c r="C13" s="1">
        <f t="shared" si="0"/>
        <v>0.98000000000000009</v>
      </c>
      <c r="D13" s="6"/>
      <c r="E13" s="1">
        <f t="shared" si="1"/>
        <v>0.33400000000000002</v>
      </c>
      <c r="F13">
        <f t="shared" si="2"/>
        <v>0.186</v>
      </c>
      <c r="G13">
        <v>186</v>
      </c>
    </row>
    <row r="17" spans="1:18" x14ac:dyDescent="0.3">
      <c r="A17" s="5" t="s">
        <v>6</v>
      </c>
      <c r="B17" s="5"/>
    </row>
    <row r="19" spans="1:18" x14ac:dyDescent="0.3">
      <c r="A19" s="1" t="s">
        <v>1</v>
      </c>
      <c r="B19" s="1" t="s">
        <v>2</v>
      </c>
      <c r="C19" s="1" t="s">
        <v>3</v>
      </c>
      <c r="D19" s="1" t="s">
        <v>4</v>
      </c>
      <c r="E19" s="1" t="s">
        <v>5</v>
      </c>
    </row>
    <row r="20" spans="1:18" x14ac:dyDescent="0.3">
      <c r="A20" s="1">
        <v>1</v>
      </c>
      <c r="B20" s="1">
        <f>10/(1000)</f>
        <v>0.01</v>
      </c>
      <c r="C20" s="1">
        <f>B20*9.8</f>
        <v>9.8000000000000004E-2</v>
      </c>
      <c r="D20" s="6">
        <f>495/1000</f>
        <v>0.495</v>
      </c>
      <c r="E20" s="1">
        <f>$D$20-F20</f>
        <v>5.0000000000000044E-3</v>
      </c>
      <c r="F20">
        <f>G20/1000</f>
        <v>0.49</v>
      </c>
      <c r="G20">
        <v>490</v>
      </c>
    </row>
    <row r="21" spans="1:18" x14ac:dyDescent="0.3">
      <c r="A21" s="1">
        <v>2</v>
      </c>
      <c r="B21" s="1">
        <f>2*B20</f>
        <v>0.02</v>
      </c>
      <c r="C21" s="1">
        <f t="shared" ref="C21:C29" si="3">B21*9.8</f>
        <v>0.19600000000000001</v>
      </c>
      <c r="D21" s="6"/>
      <c r="E21" s="1">
        <f t="shared" ref="E21:E29" si="4">$D$20-F21</f>
        <v>1.0000000000000009E-2</v>
      </c>
      <c r="F21">
        <f t="shared" ref="F21:F29" si="5">G21/1000</f>
        <v>0.48499999999999999</v>
      </c>
      <c r="G21">
        <v>485</v>
      </c>
    </row>
    <row r="22" spans="1:18" x14ac:dyDescent="0.3">
      <c r="A22" s="1">
        <v>3</v>
      </c>
      <c r="B22" s="1">
        <v>0.03</v>
      </c>
      <c r="C22" s="1">
        <f t="shared" si="3"/>
        <v>0.29399999999999998</v>
      </c>
      <c r="D22" s="6"/>
      <c r="E22" s="1">
        <f t="shared" si="4"/>
        <v>1.7000000000000015E-2</v>
      </c>
      <c r="F22">
        <f t="shared" si="5"/>
        <v>0.47799999999999998</v>
      </c>
      <c r="G22">
        <v>478</v>
      </c>
      <c r="Q22" s="3" t="s">
        <v>13</v>
      </c>
      <c r="R22" s="4">
        <f>(C29-C20)-(E29-E20)</f>
        <v>0.83300000000000018</v>
      </c>
    </row>
    <row r="23" spans="1:18" x14ac:dyDescent="0.3">
      <c r="A23" s="1">
        <v>4</v>
      </c>
      <c r="B23" s="1">
        <v>0.04</v>
      </c>
      <c r="C23" s="1">
        <f t="shared" si="3"/>
        <v>0.39200000000000002</v>
      </c>
      <c r="D23" s="6"/>
      <c r="E23" s="1">
        <f t="shared" si="4"/>
        <v>2.0000000000000018E-2</v>
      </c>
      <c r="F23">
        <f t="shared" si="5"/>
        <v>0.47499999999999998</v>
      </c>
      <c r="G23">
        <v>475</v>
      </c>
    </row>
    <row r="24" spans="1:18" x14ac:dyDescent="0.3">
      <c r="A24" s="1">
        <v>5</v>
      </c>
      <c r="B24" s="1">
        <v>0.05</v>
      </c>
      <c r="C24" s="1">
        <f t="shared" si="3"/>
        <v>0.49000000000000005</v>
      </c>
      <c r="D24" s="6"/>
      <c r="E24" s="1">
        <f t="shared" si="4"/>
        <v>2.5000000000000022E-2</v>
      </c>
      <c r="F24">
        <f t="shared" si="5"/>
        <v>0.47</v>
      </c>
      <c r="G24">
        <v>470</v>
      </c>
    </row>
    <row r="25" spans="1:18" x14ac:dyDescent="0.3">
      <c r="A25" s="1">
        <v>6</v>
      </c>
      <c r="B25" s="1">
        <v>0.06</v>
      </c>
      <c r="C25" s="1">
        <f t="shared" si="3"/>
        <v>0.58799999999999997</v>
      </c>
      <c r="D25" s="6"/>
      <c r="E25" s="1">
        <f t="shared" si="4"/>
        <v>2.9999999999999971E-2</v>
      </c>
      <c r="F25">
        <f t="shared" si="5"/>
        <v>0.46500000000000002</v>
      </c>
      <c r="G25">
        <v>465</v>
      </c>
    </row>
    <row r="26" spans="1:18" x14ac:dyDescent="0.3">
      <c r="A26" s="1">
        <v>7</v>
      </c>
      <c r="B26" s="1">
        <v>7.0000000000000007E-2</v>
      </c>
      <c r="C26" s="1">
        <f t="shared" si="3"/>
        <v>0.68600000000000017</v>
      </c>
      <c r="D26" s="6"/>
      <c r="E26" s="1">
        <f t="shared" si="4"/>
        <v>3.7999999999999978E-2</v>
      </c>
      <c r="F26">
        <f t="shared" si="5"/>
        <v>0.45700000000000002</v>
      </c>
      <c r="G26">
        <v>457</v>
      </c>
    </row>
    <row r="27" spans="1:18" x14ac:dyDescent="0.3">
      <c r="A27" s="1">
        <v>8</v>
      </c>
      <c r="B27" s="1">
        <v>0.08</v>
      </c>
      <c r="C27" s="1">
        <f t="shared" si="3"/>
        <v>0.78400000000000003</v>
      </c>
      <c r="D27" s="6"/>
      <c r="E27" s="1">
        <f t="shared" si="4"/>
        <v>4.2999999999999983E-2</v>
      </c>
      <c r="F27">
        <f t="shared" si="5"/>
        <v>0.45200000000000001</v>
      </c>
      <c r="G27">
        <v>452</v>
      </c>
    </row>
    <row r="28" spans="1:18" x14ac:dyDescent="0.3">
      <c r="A28" s="1">
        <v>9</v>
      </c>
      <c r="B28" s="1">
        <v>0.09</v>
      </c>
      <c r="C28" s="1">
        <f t="shared" si="3"/>
        <v>0.88200000000000001</v>
      </c>
      <c r="D28" s="6"/>
      <c r="E28" s="1">
        <f t="shared" si="4"/>
        <v>4.7999999999999987E-2</v>
      </c>
      <c r="F28">
        <f t="shared" si="5"/>
        <v>0.44700000000000001</v>
      </c>
      <c r="G28">
        <v>447</v>
      </c>
    </row>
    <row r="29" spans="1:18" x14ac:dyDescent="0.3">
      <c r="A29" s="1">
        <v>10</v>
      </c>
      <c r="B29" s="1">
        <v>0.1</v>
      </c>
      <c r="C29" s="1">
        <f t="shared" si="3"/>
        <v>0.98000000000000009</v>
      </c>
      <c r="D29" s="6"/>
      <c r="E29" s="1">
        <f t="shared" si="4"/>
        <v>5.3999999999999992E-2</v>
      </c>
      <c r="F29">
        <f t="shared" si="5"/>
        <v>0.441</v>
      </c>
      <c r="G29">
        <v>441</v>
      </c>
    </row>
  </sheetData>
  <mergeCells count="4">
    <mergeCell ref="A1:B1"/>
    <mergeCell ref="D4:D13"/>
    <mergeCell ref="D20:D29"/>
    <mergeCell ref="A17:B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"/>
  <sheetViews>
    <sheetView tabSelected="1" zoomScale="87" workbookViewId="0">
      <selection activeCell="P22" sqref="P22"/>
    </sheetView>
  </sheetViews>
  <sheetFormatPr defaultRowHeight="14.4" x14ac:dyDescent="0.3"/>
  <cols>
    <col min="2" max="2" width="12" customWidth="1"/>
  </cols>
  <sheetData>
    <row r="1" spans="1:7" x14ac:dyDescent="0.3">
      <c r="A1" s="1" t="s">
        <v>1</v>
      </c>
      <c r="B1" s="1" t="s">
        <v>12</v>
      </c>
      <c r="C1" s="1" t="s">
        <v>3</v>
      </c>
      <c r="D1" s="1" t="s">
        <v>4</v>
      </c>
      <c r="E1" s="1" t="s">
        <v>10</v>
      </c>
      <c r="F1" s="1" t="s">
        <v>5</v>
      </c>
    </row>
    <row r="2" spans="1:7" x14ac:dyDescent="0.3">
      <c r="A2" s="7" t="s">
        <v>11</v>
      </c>
      <c r="B2" s="8"/>
      <c r="C2" s="8"/>
      <c r="D2" s="8"/>
      <c r="E2" s="8"/>
      <c r="F2" s="9"/>
    </row>
    <row r="3" spans="1:7" x14ac:dyDescent="0.3">
      <c r="A3" s="1">
        <v>1</v>
      </c>
      <c r="B3" s="1">
        <v>0.01</v>
      </c>
      <c r="C3" s="1">
        <f>B3*9.8</f>
        <v>9.8000000000000004E-2</v>
      </c>
      <c r="D3" s="6">
        <f>505/1000</f>
        <v>0.505</v>
      </c>
      <c r="E3" s="1">
        <f>G3/1000</f>
        <v>0.5</v>
      </c>
      <c r="F3" s="1">
        <f>$D$3-E3</f>
        <v>5.0000000000000044E-3</v>
      </c>
      <c r="G3">
        <v>500</v>
      </c>
    </row>
    <row r="4" spans="1:7" x14ac:dyDescent="0.3">
      <c r="A4" s="1">
        <v>2</v>
      </c>
      <c r="B4" s="1">
        <v>0.02</v>
      </c>
      <c r="C4" s="1">
        <f t="shared" ref="C4:C22" si="0">B4*9.8</f>
        <v>0.19600000000000001</v>
      </c>
      <c r="D4" s="6"/>
      <c r="E4" s="1">
        <f t="shared" ref="E4:E22" si="1">G4/1000</f>
        <v>0.495</v>
      </c>
      <c r="F4" s="1">
        <f t="shared" ref="F4:F22" si="2">$D$3-E4</f>
        <v>1.0000000000000009E-2</v>
      </c>
      <c r="G4">
        <v>495</v>
      </c>
    </row>
    <row r="5" spans="1:7" x14ac:dyDescent="0.3">
      <c r="A5" s="1">
        <v>3</v>
      </c>
      <c r="B5" s="1">
        <v>0.03</v>
      </c>
      <c r="C5" s="1">
        <f t="shared" si="0"/>
        <v>0.29399999999999998</v>
      </c>
      <c r="D5" s="6"/>
      <c r="E5" s="1">
        <f t="shared" si="1"/>
        <v>0.49</v>
      </c>
      <c r="F5" s="1">
        <f t="shared" si="2"/>
        <v>1.5000000000000013E-2</v>
      </c>
      <c r="G5">
        <v>490</v>
      </c>
    </row>
    <row r="6" spans="1:7" x14ac:dyDescent="0.3">
      <c r="A6" s="1">
        <v>4</v>
      </c>
      <c r="B6" s="1">
        <v>0.04</v>
      </c>
      <c r="C6" s="1">
        <f t="shared" si="0"/>
        <v>0.39200000000000002</v>
      </c>
      <c r="D6" s="6"/>
      <c r="E6" s="1">
        <f t="shared" si="1"/>
        <v>0.48499999999999999</v>
      </c>
      <c r="F6" s="1">
        <f t="shared" si="2"/>
        <v>2.0000000000000018E-2</v>
      </c>
      <c r="G6">
        <v>485</v>
      </c>
    </row>
    <row r="7" spans="1:7" x14ac:dyDescent="0.3">
      <c r="A7" s="1">
        <v>5</v>
      </c>
      <c r="B7" s="1">
        <v>0.05</v>
      </c>
      <c r="C7" s="1">
        <f t="shared" si="0"/>
        <v>0.49000000000000005</v>
      </c>
      <c r="D7" s="6"/>
      <c r="E7" s="1">
        <f t="shared" si="1"/>
        <v>0.47499999999999998</v>
      </c>
      <c r="F7" s="1">
        <f t="shared" si="2"/>
        <v>3.0000000000000027E-2</v>
      </c>
      <c r="G7">
        <v>475</v>
      </c>
    </row>
    <row r="8" spans="1:7" x14ac:dyDescent="0.3">
      <c r="A8" s="1">
        <v>6</v>
      </c>
      <c r="B8" s="1">
        <v>0.06</v>
      </c>
      <c r="C8" s="1">
        <f t="shared" si="0"/>
        <v>0.58799999999999997</v>
      </c>
      <c r="D8" s="6"/>
      <c r="E8" s="1">
        <f t="shared" si="1"/>
        <v>0.46500000000000002</v>
      </c>
      <c r="F8" s="1">
        <f t="shared" si="2"/>
        <v>3.999999999999998E-2</v>
      </c>
      <c r="G8">
        <v>465</v>
      </c>
    </row>
    <row r="9" spans="1:7" x14ac:dyDescent="0.3">
      <c r="A9" s="1">
        <v>7</v>
      </c>
      <c r="B9" s="1">
        <v>7.0000000000000007E-2</v>
      </c>
      <c r="C9" s="1">
        <f t="shared" si="0"/>
        <v>0.68600000000000017</v>
      </c>
      <c r="D9" s="6"/>
      <c r="E9" s="1">
        <f t="shared" si="1"/>
        <v>0.45500000000000002</v>
      </c>
      <c r="F9" s="1">
        <f t="shared" si="2"/>
        <v>4.9999999999999989E-2</v>
      </c>
      <c r="G9">
        <v>455</v>
      </c>
    </row>
    <row r="10" spans="1:7" x14ac:dyDescent="0.3">
      <c r="A10" s="1">
        <v>8</v>
      </c>
      <c r="B10" s="1">
        <v>0.08</v>
      </c>
      <c r="C10" s="1">
        <f t="shared" si="0"/>
        <v>0.78400000000000003</v>
      </c>
      <c r="D10" s="6"/>
      <c r="E10" s="1">
        <f t="shared" si="1"/>
        <v>0.44500000000000001</v>
      </c>
      <c r="F10" s="1">
        <f t="shared" si="2"/>
        <v>0.06</v>
      </c>
      <c r="G10">
        <v>445</v>
      </c>
    </row>
    <row r="11" spans="1:7" x14ac:dyDescent="0.3">
      <c r="A11" s="1">
        <v>9</v>
      </c>
      <c r="B11" s="1">
        <v>0.09</v>
      </c>
      <c r="C11" s="1">
        <f t="shared" si="0"/>
        <v>0.88200000000000001</v>
      </c>
      <c r="D11" s="6"/>
      <c r="E11" s="1">
        <f t="shared" si="1"/>
        <v>0.43</v>
      </c>
      <c r="F11" s="1">
        <f t="shared" si="2"/>
        <v>7.5000000000000011E-2</v>
      </c>
      <c r="G11">
        <v>430</v>
      </c>
    </row>
    <row r="12" spans="1:7" x14ac:dyDescent="0.3">
      <c r="A12" s="1">
        <v>10</v>
      </c>
      <c r="B12" s="1">
        <v>0.1</v>
      </c>
      <c r="C12" s="1">
        <f t="shared" si="0"/>
        <v>0.98000000000000009</v>
      </c>
      <c r="D12" s="6"/>
      <c r="E12" s="1">
        <f t="shared" si="1"/>
        <v>0.41499999999999998</v>
      </c>
      <c r="F12" s="1">
        <f t="shared" si="2"/>
        <v>9.0000000000000024E-2</v>
      </c>
      <c r="G12">
        <v>415</v>
      </c>
    </row>
    <row r="13" spans="1:7" x14ac:dyDescent="0.3">
      <c r="A13" s="1">
        <v>11</v>
      </c>
      <c r="B13" s="1">
        <v>0.11</v>
      </c>
      <c r="C13" s="1">
        <f t="shared" si="0"/>
        <v>1.0780000000000001</v>
      </c>
      <c r="D13" s="6"/>
      <c r="E13" s="1">
        <f t="shared" si="1"/>
        <v>0.39500000000000002</v>
      </c>
      <c r="F13" s="1">
        <f t="shared" si="2"/>
        <v>0.10999999999999999</v>
      </c>
      <c r="G13">
        <v>395</v>
      </c>
    </row>
    <row r="14" spans="1:7" x14ac:dyDescent="0.3">
      <c r="A14" s="1">
        <v>12</v>
      </c>
      <c r="B14" s="1">
        <v>0.12</v>
      </c>
      <c r="C14" s="1">
        <f t="shared" si="0"/>
        <v>1.1759999999999999</v>
      </c>
      <c r="D14" s="6"/>
      <c r="E14" s="1">
        <f t="shared" si="1"/>
        <v>0.37</v>
      </c>
      <c r="F14" s="1">
        <f t="shared" si="2"/>
        <v>0.13500000000000001</v>
      </c>
      <c r="G14">
        <v>370</v>
      </c>
    </row>
    <row r="15" spans="1:7" x14ac:dyDescent="0.3">
      <c r="A15" s="1">
        <v>13</v>
      </c>
      <c r="B15" s="1">
        <v>0.13</v>
      </c>
      <c r="C15" s="1">
        <f t="shared" si="0"/>
        <v>1.2740000000000002</v>
      </c>
      <c r="D15" s="6"/>
      <c r="E15" s="1">
        <f t="shared" si="1"/>
        <v>0.35</v>
      </c>
      <c r="F15" s="1">
        <f t="shared" si="2"/>
        <v>0.15500000000000003</v>
      </c>
      <c r="G15">
        <v>350</v>
      </c>
    </row>
    <row r="16" spans="1:7" x14ac:dyDescent="0.3">
      <c r="A16" s="1">
        <v>14</v>
      </c>
      <c r="B16" s="1">
        <v>0.14000000000000001</v>
      </c>
      <c r="C16" s="1">
        <f t="shared" si="0"/>
        <v>1.3720000000000003</v>
      </c>
      <c r="D16" s="6"/>
      <c r="E16" s="1">
        <f t="shared" si="1"/>
        <v>0.33</v>
      </c>
      <c r="F16" s="1">
        <f t="shared" si="2"/>
        <v>0.17499999999999999</v>
      </c>
      <c r="G16">
        <v>330</v>
      </c>
    </row>
    <row r="17" spans="1:7" x14ac:dyDescent="0.3">
      <c r="A17" s="1">
        <v>15</v>
      </c>
      <c r="B17" s="1">
        <v>0.15</v>
      </c>
      <c r="C17" s="1">
        <f t="shared" si="0"/>
        <v>1.47</v>
      </c>
      <c r="D17" s="6"/>
      <c r="E17" s="1">
        <f t="shared" si="1"/>
        <v>0.31</v>
      </c>
      <c r="F17" s="1">
        <f t="shared" si="2"/>
        <v>0.19500000000000001</v>
      </c>
      <c r="G17">
        <v>310</v>
      </c>
    </row>
    <row r="18" spans="1:7" x14ac:dyDescent="0.3">
      <c r="A18" s="1">
        <v>16</v>
      </c>
      <c r="B18" s="1">
        <v>0.16</v>
      </c>
      <c r="C18" s="1">
        <f t="shared" si="0"/>
        <v>1.5680000000000001</v>
      </c>
      <c r="D18" s="6"/>
      <c r="E18" s="1">
        <f t="shared" si="1"/>
        <v>0.3</v>
      </c>
      <c r="F18" s="1">
        <f t="shared" si="2"/>
        <v>0.20500000000000002</v>
      </c>
      <c r="G18">
        <v>300</v>
      </c>
    </row>
    <row r="19" spans="1:7" x14ac:dyDescent="0.3">
      <c r="A19" s="1">
        <v>17</v>
      </c>
      <c r="B19" s="1">
        <v>0.17</v>
      </c>
      <c r="C19" s="1">
        <f t="shared" si="0"/>
        <v>1.6660000000000001</v>
      </c>
      <c r="D19" s="6"/>
      <c r="E19" s="1">
        <f t="shared" si="1"/>
        <v>0.29499999999999998</v>
      </c>
      <c r="F19" s="1">
        <f t="shared" si="2"/>
        <v>0.21000000000000002</v>
      </c>
      <c r="G19">
        <v>295</v>
      </c>
    </row>
    <row r="20" spans="1:7" x14ac:dyDescent="0.3">
      <c r="A20" s="1">
        <v>18</v>
      </c>
      <c r="B20" s="1">
        <v>0.18</v>
      </c>
      <c r="C20" s="1">
        <f t="shared" si="0"/>
        <v>1.764</v>
      </c>
      <c r="D20" s="6"/>
      <c r="E20" s="1">
        <f t="shared" si="1"/>
        <v>0.27500000000000002</v>
      </c>
      <c r="F20" s="1">
        <f t="shared" si="2"/>
        <v>0.22999999999999998</v>
      </c>
      <c r="G20">
        <v>275</v>
      </c>
    </row>
    <row r="21" spans="1:7" x14ac:dyDescent="0.3">
      <c r="A21" s="1">
        <v>19</v>
      </c>
      <c r="B21" s="1">
        <v>0.19</v>
      </c>
      <c r="C21" s="1">
        <f t="shared" si="0"/>
        <v>1.8620000000000001</v>
      </c>
      <c r="D21" s="6"/>
      <c r="E21" s="1">
        <f t="shared" si="1"/>
        <v>0.25700000000000001</v>
      </c>
      <c r="F21" s="1">
        <f t="shared" si="2"/>
        <v>0.248</v>
      </c>
      <c r="G21">
        <v>257</v>
      </c>
    </row>
    <row r="22" spans="1:7" x14ac:dyDescent="0.3">
      <c r="A22" s="1">
        <v>20</v>
      </c>
      <c r="B22" s="1">
        <v>0.2</v>
      </c>
      <c r="C22" s="1">
        <f t="shared" si="0"/>
        <v>1.9600000000000002</v>
      </c>
      <c r="D22" s="6"/>
      <c r="E22" s="1">
        <f t="shared" si="1"/>
        <v>0.23699999999999999</v>
      </c>
      <c r="F22" s="1">
        <f t="shared" si="2"/>
        <v>0.26800000000000002</v>
      </c>
      <c r="G22">
        <v>237</v>
      </c>
    </row>
    <row r="25" spans="1:7" x14ac:dyDescent="0.3">
      <c r="A25" s="1" t="s">
        <v>1</v>
      </c>
      <c r="B25" s="1" t="s">
        <v>12</v>
      </c>
      <c r="C25" s="1" t="s">
        <v>3</v>
      </c>
      <c r="D25" s="1" t="s">
        <v>4</v>
      </c>
      <c r="E25" s="1" t="s">
        <v>10</v>
      </c>
      <c r="F25" s="1" t="s">
        <v>5</v>
      </c>
    </row>
    <row r="26" spans="1:7" x14ac:dyDescent="0.3">
      <c r="A26" s="7" t="s">
        <v>11</v>
      </c>
      <c r="B26" s="8"/>
      <c r="C26" s="8"/>
      <c r="D26" s="8"/>
      <c r="E26" s="8"/>
      <c r="F26" s="9"/>
    </row>
    <row r="27" spans="1:7" x14ac:dyDescent="0.3">
      <c r="A27" s="1">
        <v>1</v>
      </c>
      <c r="B27" s="1">
        <v>0.2</v>
      </c>
      <c r="C27" s="1">
        <f>B27*9.8</f>
        <v>1.9600000000000002</v>
      </c>
      <c r="D27" s="6">
        <f>237/1000</f>
        <v>0.23699999999999999</v>
      </c>
      <c r="E27" s="1">
        <f>G27/1000</f>
        <v>0.247</v>
      </c>
      <c r="F27" s="1">
        <f>E27-$D$27</f>
        <v>1.0000000000000009E-2</v>
      </c>
      <c r="G27">
        <v>247</v>
      </c>
    </row>
    <row r="28" spans="1:7" x14ac:dyDescent="0.3">
      <c r="A28" s="1">
        <v>2</v>
      </c>
      <c r="B28" s="1">
        <v>0.19</v>
      </c>
      <c r="C28" s="1">
        <f t="shared" ref="C28:C46" si="3">B28*9.8</f>
        <v>1.8620000000000001</v>
      </c>
      <c r="D28" s="6"/>
      <c r="E28" s="1">
        <f t="shared" ref="E28:E46" si="4">G28/1000</f>
        <v>0.25700000000000001</v>
      </c>
      <c r="F28" s="1">
        <f t="shared" ref="F28:F46" si="5">E28-$D$27</f>
        <v>2.0000000000000018E-2</v>
      </c>
      <c r="G28">
        <v>257</v>
      </c>
    </row>
    <row r="29" spans="1:7" x14ac:dyDescent="0.3">
      <c r="A29" s="1">
        <v>3</v>
      </c>
      <c r="B29" s="1">
        <v>0.18</v>
      </c>
      <c r="C29" s="1">
        <f t="shared" si="3"/>
        <v>1.764</v>
      </c>
      <c r="D29" s="6"/>
      <c r="E29" s="1">
        <f t="shared" si="4"/>
        <v>0.27</v>
      </c>
      <c r="F29" s="1">
        <f t="shared" si="5"/>
        <v>3.3000000000000029E-2</v>
      </c>
      <c r="G29">
        <v>270</v>
      </c>
    </row>
    <row r="30" spans="1:7" x14ac:dyDescent="0.3">
      <c r="A30" s="1">
        <v>4</v>
      </c>
      <c r="B30" s="1">
        <v>0.17</v>
      </c>
      <c r="C30" s="1">
        <f t="shared" si="3"/>
        <v>1.6660000000000001</v>
      </c>
      <c r="D30" s="6"/>
      <c r="E30" s="1">
        <f t="shared" si="4"/>
        <v>0.28499999999999998</v>
      </c>
      <c r="F30" s="1">
        <f t="shared" si="5"/>
        <v>4.7999999999999987E-2</v>
      </c>
      <c r="G30">
        <v>285</v>
      </c>
    </row>
    <row r="31" spans="1:7" x14ac:dyDescent="0.3">
      <c r="A31" s="1">
        <v>5</v>
      </c>
      <c r="B31" s="1">
        <v>0.16</v>
      </c>
      <c r="C31" s="1">
        <f t="shared" si="3"/>
        <v>1.5680000000000001</v>
      </c>
      <c r="D31" s="6"/>
      <c r="E31" s="1">
        <f t="shared" si="4"/>
        <v>0.3</v>
      </c>
      <c r="F31" s="1">
        <f t="shared" si="5"/>
        <v>6.3E-2</v>
      </c>
      <c r="G31">
        <v>300</v>
      </c>
    </row>
    <row r="32" spans="1:7" x14ac:dyDescent="0.3">
      <c r="A32" s="1">
        <v>6</v>
      </c>
      <c r="B32" s="1">
        <v>0.15</v>
      </c>
      <c r="C32" s="1">
        <f t="shared" si="3"/>
        <v>1.47</v>
      </c>
      <c r="D32" s="6"/>
      <c r="E32" s="1">
        <f t="shared" si="4"/>
        <v>0.32</v>
      </c>
      <c r="F32" s="1">
        <f t="shared" si="5"/>
        <v>8.3000000000000018E-2</v>
      </c>
      <c r="G32">
        <v>320</v>
      </c>
    </row>
    <row r="33" spans="1:7" x14ac:dyDescent="0.3">
      <c r="A33" s="1">
        <v>7</v>
      </c>
      <c r="B33" s="1">
        <v>0.14000000000000001</v>
      </c>
      <c r="C33" s="1">
        <f t="shared" si="3"/>
        <v>1.3720000000000003</v>
      </c>
      <c r="D33" s="6"/>
      <c r="E33" s="1">
        <f t="shared" si="4"/>
        <v>0.33500000000000002</v>
      </c>
      <c r="F33" s="1">
        <f t="shared" si="5"/>
        <v>9.8000000000000032E-2</v>
      </c>
      <c r="G33">
        <v>335</v>
      </c>
    </row>
    <row r="34" spans="1:7" x14ac:dyDescent="0.3">
      <c r="A34" s="1">
        <v>8</v>
      </c>
      <c r="B34" s="1">
        <v>0.13</v>
      </c>
      <c r="C34" s="1">
        <f t="shared" si="3"/>
        <v>1.2740000000000002</v>
      </c>
      <c r="D34" s="6"/>
      <c r="E34" s="1">
        <f t="shared" si="4"/>
        <v>0.35499999999999998</v>
      </c>
      <c r="F34" s="1">
        <f t="shared" si="5"/>
        <v>0.11799999999999999</v>
      </c>
      <c r="G34">
        <v>355</v>
      </c>
    </row>
    <row r="35" spans="1:7" x14ac:dyDescent="0.3">
      <c r="A35" s="1">
        <v>9</v>
      </c>
      <c r="B35" s="1">
        <v>0.12</v>
      </c>
      <c r="C35" s="1">
        <f t="shared" si="3"/>
        <v>1.1759999999999999</v>
      </c>
      <c r="D35" s="6"/>
      <c r="E35" s="1">
        <f t="shared" si="4"/>
        <v>0.37</v>
      </c>
      <c r="F35" s="1">
        <f t="shared" si="5"/>
        <v>0.13300000000000001</v>
      </c>
      <c r="G35">
        <v>370</v>
      </c>
    </row>
    <row r="36" spans="1:7" x14ac:dyDescent="0.3">
      <c r="A36" s="1">
        <v>10</v>
      </c>
      <c r="B36" s="1">
        <v>0.11</v>
      </c>
      <c r="C36" s="1">
        <f t="shared" si="3"/>
        <v>1.0780000000000001</v>
      </c>
      <c r="D36" s="6"/>
      <c r="E36" s="1">
        <f t="shared" si="4"/>
        <v>0.38500000000000001</v>
      </c>
      <c r="F36" s="1">
        <f t="shared" si="5"/>
        <v>0.14800000000000002</v>
      </c>
      <c r="G36">
        <v>385</v>
      </c>
    </row>
    <row r="37" spans="1:7" x14ac:dyDescent="0.3">
      <c r="A37" s="1">
        <v>11</v>
      </c>
      <c r="B37" s="1">
        <v>0.1</v>
      </c>
      <c r="C37" s="1">
        <f t="shared" si="3"/>
        <v>0.98000000000000009</v>
      </c>
      <c r="D37" s="6"/>
      <c r="E37" s="1">
        <f t="shared" si="4"/>
        <v>0.40500000000000003</v>
      </c>
      <c r="F37" s="1">
        <f t="shared" si="5"/>
        <v>0.16800000000000004</v>
      </c>
      <c r="G37">
        <v>405</v>
      </c>
    </row>
    <row r="38" spans="1:7" x14ac:dyDescent="0.3">
      <c r="A38" s="1">
        <v>12</v>
      </c>
      <c r="B38" s="1">
        <v>0.09</v>
      </c>
      <c r="C38" s="1">
        <f t="shared" si="3"/>
        <v>0.88200000000000001</v>
      </c>
      <c r="D38" s="6"/>
      <c r="E38" s="1">
        <f t="shared" si="4"/>
        <v>0.42</v>
      </c>
      <c r="F38" s="1">
        <f t="shared" si="5"/>
        <v>0.183</v>
      </c>
      <c r="G38">
        <v>420</v>
      </c>
    </row>
    <row r="39" spans="1:7" x14ac:dyDescent="0.3">
      <c r="A39" s="1">
        <v>13</v>
      </c>
      <c r="B39" s="1">
        <v>0.08</v>
      </c>
      <c r="C39" s="1">
        <f t="shared" si="3"/>
        <v>0.78400000000000003</v>
      </c>
      <c r="D39" s="6"/>
      <c r="E39" s="1">
        <f t="shared" si="4"/>
        <v>0.435</v>
      </c>
      <c r="F39" s="1">
        <f t="shared" si="5"/>
        <v>0.19800000000000001</v>
      </c>
      <c r="G39">
        <v>435</v>
      </c>
    </row>
    <row r="40" spans="1:7" x14ac:dyDescent="0.3">
      <c r="A40" s="1">
        <v>14</v>
      </c>
      <c r="B40" s="1">
        <v>7.0000000000000007E-2</v>
      </c>
      <c r="C40" s="1">
        <f t="shared" si="3"/>
        <v>0.68600000000000017</v>
      </c>
      <c r="D40" s="6"/>
      <c r="E40" s="1">
        <f t="shared" si="4"/>
        <v>0.44500000000000001</v>
      </c>
      <c r="F40" s="1">
        <f t="shared" si="5"/>
        <v>0.20800000000000002</v>
      </c>
      <c r="G40">
        <v>445</v>
      </c>
    </row>
    <row r="41" spans="1:7" x14ac:dyDescent="0.3">
      <c r="A41" s="1">
        <v>15</v>
      </c>
      <c r="B41" s="1">
        <v>0.06</v>
      </c>
      <c r="C41" s="1">
        <f t="shared" si="3"/>
        <v>0.58799999999999997</v>
      </c>
      <c r="D41" s="6"/>
      <c r="E41" s="1">
        <f t="shared" si="4"/>
        <v>0.46</v>
      </c>
      <c r="F41" s="1">
        <f t="shared" si="5"/>
        <v>0.22300000000000003</v>
      </c>
      <c r="G41">
        <v>460</v>
      </c>
    </row>
    <row r="42" spans="1:7" x14ac:dyDescent="0.3">
      <c r="A42" s="1">
        <v>16</v>
      </c>
      <c r="B42" s="1">
        <v>0.05</v>
      </c>
      <c r="C42" s="1">
        <f t="shared" si="3"/>
        <v>0.49000000000000005</v>
      </c>
      <c r="D42" s="6"/>
      <c r="E42" s="1">
        <f t="shared" si="4"/>
        <v>0.47</v>
      </c>
      <c r="F42" s="1">
        <f t="shared" si="5"/>
        <v>0.23299999999999998</v>
      </c>
      <c r="G42">
        <v>470</v>
      </c>
    </row>
    <row r="43" spans="1:7" x14ac:dyDescent="0.3">
      <c r="A43" s="1">
        <v>17</v>
      </c>
      <c r="B43" s="1">
        <v>0.04</v>
      </c>
      <c r="C43" s="1">
        <f t="shared" si="3"/>
        <v>0.39200000000000002</v>
      </c>
      <c r="D43" s="6"/>
      <c r="E43" s="1">
        <f t="shared" si="4"/>
        <v>0.48</v>
      </c>
      <c r="F43" s="1">
        <f t="shared" si="5"/>
        <v>0.24299999999999999</v>
      </c>
      <c r="G43">
        <v>480</v>
      </c>
    </row>
    <row r="44" spans="1:7" x14ac:dyDescent="0.3">
      <c r="A44" s="1">
        <v>18</v>
      </c>
      <c r="B44" s="1">
        <v>0.03</v>
      </c>
      <c r="C44" s="1">
        <f t="shared" si="3"/>
        <v>0.29399999999999998</v>
      </c>
      <c r="D44" s="6"/>
      <c r="E44" s="1">
        <f t="shared" si="4"/>
        <v>0.49</v>
      </c>
      <c r="F44" s="1">
        <f t="shared" si="5"/>
        <v>0.253</v>
      </c>
      <c r="G44">
        <v>490</v>
      </c>
    </row>
    <row r="45" spans="1:7" x14ac:dyDescent="0.3">
      <c r="A45" s="1">
        <v>19</v>
      </c>
      <c r="B45" s="1">
        <v>0.02</v>
      </c>
      <c r="C45" s="1">
        <f t="shared" si="3"/>
        <v>0.19600000000000001</v>
      </c>
      <c r="D45" s="6"/>
      <c r="E45" s="1">
        <f t="shared" si="4"/>
        <v>0.495</v>
      </c>
      <c r="F45" s="1">
        <f t="shared" si="5"/>
        <v>0.25800000000000001</v>
      </c>
      <c r="G45">
        <v>495</v>
      </c>
    </row>
    <row r="46" spans="1:7" x14ac:dyDescent="0.3">
      <c r="A46" s="1">
        <v>20</v>
      </c>
      <c r="B46" s="1">
        <v>0.01</v>
      </c>
      <c r="C46" s="1">
        <f t="shared" si="3"/>
        <v>9.8000000000000004E-2</v>
      </c>
      <c r="D46" s="6"/>
      <c r="E46" s="1">
        <f t="shared" si="4"/>
        <v>0.5</v>
      </c>
      <c r="F46" s="1">
        <f t="shared" si="5"/>
        <v>0.26300000000000001</v>
      </c>
      <c r="G46">
        <v>500</v>
      </c>
    </row>
  </sheetData>
  <mergeCells count="4">
    <mergeCell ref="D3:D22"/>
    <mergeCell ref="A2:F2"/>
    <mergeCell ref="A26:F26"/>
    <mergeCell ref="D27:D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Глеб Назаров</dc:creator>
  <cp:lastModifiedBy>Максим Маликов</cp:lastModifiedBy>
  <dcterms:created xsi:type="dcterms:W3CDTF">2025-10-12T14:09:05Z</dcterms:created>
  <dcterms:modified xsi:type="dcterms:W3CDTF">2025-10-25T05:52:21Z</dcterms:modified>
</cp:coreProperties>
</file>