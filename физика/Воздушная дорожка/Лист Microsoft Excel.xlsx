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скуф\физика\Воздушная дорожка\"/>
    </mc:Choice>
  </mc:AlternateContent>
  <xr:revisionPtr revIDLastSave="0" documentId="13_ncr:1_{7EC06D97-F677-4CFD-9331-8061417BCA00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3" l="1"/>
  <c r="K3" i="3"/>
  <c r="K4" i="3"/>
  <c r="K5" i="3"/>
  <c r="K6" i="3"/>
  <c r="K2" i="3"/>
  <c r="I6" i="3"/>
  <c r="J6" i="3"/>
  <c r="H6" i="3"/>
  <c r="I5" i="3"/>
  <c r="J5" i="3"/>
  <c r="H5" i="3"/>
  <c r="J4" i="3"/>
  <c r="I4" i="3"/>
  <c r="H4" i="3"/>
  <c r="G4" i="3"/>
  <c r="H3" i="3"/>
  <c r="H2" i="3"/>
  <c r="G6" i="3"/>
  <c r="G5" i="3"/>
  <c r="I3" i="3"/>
  <c r="J3" i="3"/>
  <c r="G3" i="3"/>
  <c r="I2" i="3"/>
  <c r="J2" i="3"/>
  <c r="G2" i="3"/>
  <c r="B3" i="3"/>
  <c r="B4" i="3"/>
  <c r="B5" i="3"/>
  <c r="B6" i="3"/>
  <c r="B2" i="3"/>
  <c r="K3" i="2"/>
  <c r="K4" i="2"/>
  <c r="K5" i="2"/>
  <c r="K6" i="2"/>
  <c r="K2" i="2"/>
  <c r="H6" i="2"/>
  <c r="I6" i="2"/>
  <c r="J6" i="2"/>
  <c r="H5" i="2"/>
  <c r="I5" i="2"/>
  <c r="J5" i="2"/>
  <c r="H4" i="2"/>
  <c r="I4" i="2"/>
  <c r="J4" i="2"/>
  <c r="G6" i="2"/>
  <c r="G5" i="2"/>
  <c r="G4" i="2"/>
  <c r="H3" i="2"/>
  <c r="I3" i="2"/>
  <c r="J3" i="2"/>
  <c r="G3" i="2"/>
  <c r="I2" i="2"/>
  <c r="H2" i="2"/>
  <c r="J2" i="2"/>
  <c r="G2" i="2"/>
  <c r="F18" i="1"/>
  <c r="F16" i="1"/>
  <c r="G2" i="1"/>
  <c r="H2" i="1"/>
  <c r="I2" i="1"/>
  <c r="C6" i="1"/>
  <c r="D6" i="1"/>
  <c r="E6" i="1"/>
  <c r="B6" i="1"/>
  <c r="K10" i="1"/>
  <c r="D12" i="1" l="1"/>
  <c r="E12" i="1"/>
  <c r="B12" i="1"/>
  <c r="F2" i="1" s="1"/>
  <c r="E11" i="1"/>
  <c r="C11" i="1"/>
  <c r="D11" i="1"/>
  <c r="B11" i="1"/>
  <c r="C10" i="1"/>
  <c r="D10" i="1"/>
  <c r="E10" i="1"/>
  <c r="B10" i="1"/>
  <c r="C9" i="1"/>
  <c r="D9" i="1"/>
  <c r="E9" i="1"/>
  <c r="B9" i="1"/>
  <c r="C8" i="1"/>
  <c r="C12" i="1" s="1"/>
  <c r="D8" i="1"/>
  <c r="E8" i="1"/>
  <c r="B8" i="1"/>
</calcChain>
</file>

<file path=xl/sharedStrings.xml><?xml version="1.0" encoding="utf-8"?>
<sst xmlns="http://schemas.openxmlformats.org/spreadsheetml/2006/main" count="43" uniqueCount="38">
  <si>
    <t>№</t>
  </si>
  <si>
    <t>t1, c</t>
  </si>
  <si>
    <t>t2, c</t>
  </si>
  <si>
    <t>t3, c</t>
  </si>
  <si>
    <t>t4, c</t>
  </si>
  <si>
    <t>a, м/c^2</t>
  </si>
  <si>
    <r>
      <t>a</t>
    </r>
    <r>
      <rPr>
        <vertAlign val="subscript"/>
        <sz val="14"/>
        <color rgb="FF000000"/>
        <rFont val="Times New Roman"/>
        <family val="1"/>
        <charset val="204"/>
      </rPr>
      <t>теор</t>
    </r>
    <r>
      <rPr>
        <sz val="14"/>
        <color rgb="FF000000"/>
        <rFont val="Times New Roman"/>
        <family val="1"/>
        <charset val="204"/>
      </rPr>
      <t>, м/с^2</t>
    </r>
  </si>
  <si>
    <t>ср знач</t>
  </si>
  <si>
    <t>v1</t>
  </si>
  <si>
    <t>v2</t>
  </si>
  <si>
    <t>v3</t>
  </si>
  <si>
    <t>v4</t>
  </si>
  <si>
    <t>S</t>
  </si>
  <si>
    <t>&lt;v&gt;1, м/c</t>
  </si>
  <si>
    <t>&lt;v&gt;2, м/c</t>
  </si>
  <si>
    <t>&lt;v&gt;3, м/c</t>
  </si>
  <si>
    <t>&lt;v&gt;4, м/c</t>
  </si>
  <si>
    <t>t, c</t>
  </si>
  <si>
    <t>&lt;v&gt;, м/с</t>
  </si>
  <si>
    <t xml:space="preserve">t2, c </t>
  </si>
  <si>
    <t>a1</t>
  </si>
  <si>
    <t>a2</t>
  </si>
  <si>
    <t>a4</t>
  </si>
  <si>
    <t>a3</t>
  </si>
  <si>
    <t>m, г</t>
  </si>
  <si>
    <t>a2, м/c</t>
  </si>
  <si>
    <t>a3, м/c</t>
  </si>
  <si>
    <t>a4, м/c</t>
  </si>
  <si>
    <t>&lt;a&gt;, м/c^2</t>
  </si>
  <si>
    <t>a1, м/с</t>
  </si>
  <si>
    <t>t1</t>
  </si>
  <si>
    <t>t2</t>
  </si>
  <si>
    <t>t3</t>
  </si>
  <si>
    <t>t4</t>
  </si>
  <si>
    <t>[-m]</t>
  </si>
  <si>
    <t>M+m, г</t>
  </si>
  <si>
    <t>&lt;a&gt;</t>
  </si>
  <si>
    <t>g=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</si>
</sst>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4"/>
      <color rgb="FF000000"/>
      <name val="Times New Roman"/>
      <family val="1"/>
      <charset val="204"/>
    </font>
    <font>
      <vertAlign val="subscript"/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rgb="FF3F3F3F"/>
      <name val="Times New Roman"/>
      <family val="1"/>
      <charset val="204"/>
    </font>
    <font>
      <sz val="9"/>
      <color rgb="FF3F3F3F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/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rgb="FF3F3F3F"/>
      </left>
      <right style="medium">
        <color rgb="FF3F3F3F"/>
      </right>
      <top/>
      <bottom style="medium">
        <color rgb="FF3F3F3F"/>
      </bottom>
      <diagonal/>
    </border>
    <border>
      <left/>
      <right style="medium">
        <color rgb="FF3F3F3F"/>
      </right>
      <top/>
      <bottom style="medium">
        <color rgb="FF3F3F3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3" xfId="0" applyBorder="1"/>
    <xf numFmtId="0" fontId="0" fillId="2" borderId="3" xfId="0" applyFill="1" applyBorder="1"/>
    <xf numFmtId="0" fontId="4" fillId="0" borderId="7" xfId="0" applyFont="1" applyBorder="1" applyAlignment="1">
      <alignment horizontal="justify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Fill="1" applyBorder="1" applyAlignment="1">
      <alignment horizontal="right" vertical="center"/>
    </xf>
    <xf numFmtId="0" fontId="5" fillId="3" borderId="18" xfId="0" applyFont="1" applyFill="1" applyBorder="1" applyAlignment="1">
      <alignment vertical="center"/>
    </xf>
    <xf numFmtId="0" fontId="5" fillId="3" borderId="19" xfId="0" applyFont="1" applyFill="1" applyBorder="1" applyAlignment="1">
      <alignment vertical="center"/>
    </xf>
    <xf numFmtId="0" fontId="0" fillId="3" borderId="0" xfId="0" applyFill="1"/>
    <xf numFmtId="0" fontId="5" fillId="3" borderId="21" xfId="0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0" fontId="6" fillId="3" borderId="20" xfId="0" applyFont="1" applyFill="1" applyBorder="1" applyAlignment="1">
      <alignment horizontal="right" vertical="center"/>
    </xf>
    <xf numFmtId="0" fontId="6" fillId="3" borderId="21" xfId="0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Лист1!$C$17:$C$20</c:f>
              <c:numCache>
                <c:formatCode>General</c:formatCode>
                <c:ptCount val="4"/>
                <c:pt idx="0">
                  <c:v>0.52</c:v>
                </c:pt>
                <c:pt idx="1">
                  <c:v>0.73</c:v>
                </c:pt>
                <c:pt idx="2">
                  <c:v>0.85</c:v>
                </c:pt>
                <c:pt idx="3">
                  <c:v>0.98</c:v>
                </c:pt>
              </c:numCache>
            </c:numRef>
          </c:xVal>
          <c:yVal>
            <c:numRef>
              <c:f>Лист1!$B$17:$B$20</c:f>
              <c:numCache>
                <c:formatCode>General</c:formatCode>
                <c:ptCount val="4"/>
                <c:pt idx="0">
                  <c:v>0.19</c:v>
                </c:pt>
                <c:pt idx="1">
                  <c:v>0.28000000000000003</c:v>
                </c:pt>
                <c:pt idx="2">
                  <c:v>0.35</c:v>
                </c:pt>
                <c:pt idx="3">
                  <c:v>0.41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27-4764-A63E-CBCE83D4A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477647"/>
        <c:axId val="1494481007"/>
      </c:scatterChart>
      <c:valAx>
        <c:axId val="1494477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t,</a:t>
                </a:r>
                <a:r>
                  <a:rPr lang="en-US" baseline="0"/>
                  <a:t> c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481007"/>
        <c:crosses val="autoZero"/>
        <c:crossBetween val="midCat"/>
      </c:valAx>
      <c:valAx>
        <c:axId val="149448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v,</a:t>
                </a:r>
                <a:r>
                  <a:rPr lang="en-US" baseline="0"/>
                  <a:t> </a:t>
                </a:r>
                <a:r>
                  <a:rPr lang="ru-RU" baseline="0"/>
                  <a:t>м</a:t>
                </a:r>
                <a:r>
                  <a:rPr lang="en-US" baseline="0"/>
                  <a:t>/</a:t>
                </a:r>
                <a:r>
                  <a:rPr lang="ru-RU" baseline="0"/>
                  <a:t>с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47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зависимости</a:t>
            </a:r>
            <a:r>
              <a:rPr lang="ru-RU" baseline="0"/>
              <a:t> ускорения тела от массы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Лист2!$B$2:$B$6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</c:numCache>
            </c:numRef>
          </c:xVal>
          <c:yVal>
            <c:numRef>
              <c:f>Лист2!$K$2:$K$6</c:f>
              <c:numCache>
                <c:formatCode>General</c:formatCode>
                <c:ptCount val="5"/>
                <c:pt idx="0">
                  <c:v>0.26073879490375967</c:v>
                </c:pt>
                <c:pt idx="1">
                  <c:v>0.28276400504710414</c:v>
                </c:pt>
                <c:pt idx="2">
                  <c:v>0.39926009463176448</c:v>
                </c:pt>
                <c:pt idx="3">
                  <c:v>0.41614651841919326</c:v>
                </c:pt>
                <c:pt idx="4">
                  <c:v>0.52443191975554404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30-4AD3-A7E0-B08915724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473807"/>
        <c:axId val="1494474767"/>
      </c:scatterChart>
      <c:valAx>
        <c:axId val="14944738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m, </a:t>
                </a:r>
                <a:r>
                  <a:rPr lang="ru-RU"/>
                  <a:t>г</a:t>
                </a:r>
              </a:p>
            </c:rich>
          </c:tx>
          <c:layout>
            <c:manualLayout>
              <c:xMode val="edge"/>
              <c:yMode val="edge"/>
              <c:x val="0.5164641294838143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474767"/>
        <c:crosses val="autoZero"/>
        <c:crossBetween val="midCat"/>
      </c:valAx>
      <c:valAx>
        <c:axId val="149447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en-US" baseline="0"/>
                  <a:t> </a:t>
                </a:r>
                <a:r>
                  <a:rPr lang="ru-RU" baseline="0"/>
                  <a:t>м</a:t>
                </a:r>
                <a:r>
                  <a:rPr lang="en-US" baseline="0"/>
                  <a:t>/c^2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473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зависимости ускорения от обратной массы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Лист3!$B$2:$B$6</c:f>
              <c:numCache>
                <c:formatCode>General</c:formatCode>
                <c:ptCount val="5"/>
                <c:pt idx="0">
                  <c:v>4.5454545454545459</c:v>
                </c:pt>
                <c:pt idx="1">
                  <c:v>4</c:v>
                </c:pt>
                <c:pt idx="2">
                  <c:v>3.5714285714285712</c:v>
                </c:pt>
                <c:pt idx="3">
                  <c:v>3.2258064516129035</c:v>
                </c:pt>
                <c:pt idx="4">
                  <c:v>2.9411764705882351</c:v>
                </c:pt>
              </c:numCache>
            </c:numRef>
          </c:xVal>
          <c:yVal>
            <c:numRef>
              <c:f>Лист3!$K$2:$K$6</c:f>
              <c:numCache>
                <c:formatCode>General</c:formatCode>
                <c:ptCount val="5"/>
                <c:pt idx="0">
                  <c:v>0.47852404820674832</c:v>
                </c:pt>
                <c:pt idx="1">
                  <c:v>0.45862609815286393</c:v>
                </c:pt>
                <c:pt idx="2">
                  <c:v>0.43738234847609681</c:v>
                </c:pt>
                <c:pt idx="3">
                  <c:v>0.4060872047898792</c:v>
                </c:pt>
                <c:pt idx="4">
                  <c:v>0.31361383500569251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3-4B07-96C6-0320465D7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518447"/>
        <c:axId val="1494516047"/>
      </c:scatterChart>
      <c:valAx>
        <c:axId val="149451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1</a:t>
                </a:r>
                <a:r>
                  <a:rPr lang="en-US"/>
                  <a:t>/(M+m),</a:t>
                </a:r>
                <a:r>
                  <a:rPr lang="en-US" baseline="0"/>
                  <a:t> </a:t>
                </a:r>
                <a:r>
                  <a:rPr lang="ru-RU" baseline="0"/>
                  <a:t>кг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516047"/>
        <c:crosses val="autoZero"/>
        <c:crossBetween val="midCat"/>
      </c:valAx>
      <c:valAx>
        <c:axId val="149451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en-US" baseline="0"/>
                  <a:t> </a:t>
                </a:r>
                <a:r>
                  <a:rPr lang="ru-RU" baseline="0"/>
                  <a:t>м</a:t>
                </a:r>
                <a:r>
                  <a:rPr lang="en-US" baseline="0"/>
                  <a:t>/c^2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9451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5</xdr:row>
      <xdr:rowOff>19050</xdr:rowOff>
    </xdr:from>
    <xdr:ext cx="793230" cy="3273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Надпись 12">
              <a:extLst>
                <a:ext uri="{FF2B5EF4-FFF2-40B4-BE49-F238E27FC236}">
                  <a16:creationId xmlns:a16="http://schemas.microsoft.com/office/drawing/2014/main" id="{C32519AB-861A-4C06-A236-2001B19AF4A9}"/>
                </a:ext>
              </a:extLst>
            </xdr:cNvPr>
            <xdr:cNvSpPr txBox="1"/>
          </xdr:nvSpPr>
          <xdr:spPr>
            <a:xfrm>
              <a:off x="28575" y="1228725"/>
              <a:ext cx="793230" cy="327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/>
            <a:p>
              <a:pPr>
                <a:buNone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𝑡</m:t>
                    </m:r>
                    <m:r>
                      <a:rPr lang="en-US" sz="1100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Times New Roman" panose="02020603050405020304" pitchFamily="18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ru-RU" sz="11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&lt;</m:t>
                        </m:r>
                        <m: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𝑡</m:t>
                        </m:r>
                        <m:d>
                          <m:dPr>
                            <m:ctrlPr>
                              <a:rPr lang="en-US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</m:ctrlPr>
                          </m:dPr>
                          <m:e>
                            <m:r>
                              <a:rPr lang="en-US" sz="1100" i="1">
                                <a:solidFill>
                                  <a:srgbClr val="000000"/>
                                </a:solidFill>
                                <a:effectLst/>
                                <a:latin typeface="Cambria Math" panose="02040503050406030204" pitchFamily="18" charset="0"/>
                                <a:ea typeface="Times New Roman" panose="02020603050405020304" pitchFamily="18" charset="0"/>
                                <a:cs typeface="Times New Roman" panose="02020603050405020304" pitchFamily="18" charset="0"/>
                              </a:rPr>
                              <m:t>𝑖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&gt;</m:t>
                        </m:r>
                      </m:num>
                      <m:den>
                        <m:r>
                          <a:rPr lang="en-US" sz="1100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Times New Roman" panose="02020603050405020304" pitchFamily="18" charset="0"/>
                            <a:cs typeface="Times New Roman" panose="020206030504050203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ru-RU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Надпись 12">
              <a:extLst>
                <a:ext uri="{FF2B5EF4-FFF2-40B4-BE49-F238E27FC236}">
                  <a16:creationId xmlns:a16="http://schemas.microsoft.com/office/drawing/2014/main" id="{C32519AB-861A-4C06-A236-2001B19AF4A9}"/>
                </a:ext>
              </a:extLst>
            </xdr:cNvPr>
            <xdr:cNvSpPr txBox="1"/>
          </xdr:nvSpPr>
          <xdr:spPr>
            <a:xfrm>
              <a:off x="28575" y="1228725"/>
              <a:ext cx="793230" cy="3273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wrap="none" lIns="0" tIns="0" rIns="0" bIns="0" rtlCol="0" anchor="t">
              <a:spAutoFit/>
            </a:bodyPr>
            <a:lstStyle/>
            <a:p>
              <a:pPr>
                <a:buNone/>
              </a:pPr>
              <a:r>
                <a:rPr lang="en-US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𝑡=</a:t>
              </a:r>
              <a:r>
                <a:rPr lang="ru-RU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en-US" sz="1100" b="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&lt;</a:t>
              </a:r>
              <a:r>
                <a:rPr lang="en-US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𝑡(𝑖)</a:t>
              </a:r>
              <a:r>
                <a:rPr lang="en-US" sz="1100" b="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&gt;</a:t>
              </a:r>
              <a:r>
                <a:rPr lang="ru-RU" sz="1100" b="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)/</a:t>
              </a:r>
              <a:r>
                <a:rPr lang="en-US" sz="1100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Times New Roman" panose="02020603050405020304" pitchFamily="18" charset="0"/>
                  <a:cs typeface="Times New Roman" panose="02020603050405020304" pitchFamily="18" charset="0"/>
                </a:rPr>
                <a:t>2</a:t>
              </a:r>
              <a:endParaRPr lang="ru-RU" sz="1200">
                <a:effectLst/>
                <a:latin typeface="Times New Roman" panose="02020603050405020304" pitchFamily="18" charset="0"/>
                <a:ea typeface="Times New Roman" panose="02020603050405020304" pitchFamily="18" charset="0"/>
              </a:endParaRPr>
            </a:p>
          </xdr:txBody>
        </xdr:sp>
      </mc:Fallback>
    </mc:AlternateContent>
    <xdr:clientData/>
  </xdr:oneCellAnchor>
  <xdr:twoCellAnchor>
    <xdr:from>
      <xdr:col>11</xdr:col>
      <xdr:colOff>180975</xdr:colOff>
      <xdr:row>0</xdr:row>
      <xdr:rowOff>71437</xdr:rowOff>
    </xdr:from>
    <xdr:to>
      <xdr:col>18</xdr:col>
      <xdr:colOff>485775</xdr:colOff>
      <xdr:row>10</xdr:row>
      <xdr:rowOff>61912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D4C3C4B-7258-F6F5-0B35-119B87BADB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90487</xdr:rowOff>
    </xdr:from>
    <xdr:to>
      <xdr:col>20</xdr:col>
      <xdr:colOff>304800</xdr:colOff>
      <xdr:row>13</xdr:row>
      <xdr:rowOff>23812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8111D62-D527-CA96-A4C1-1B948243C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9525</xdr:colOff>
      <xdr:row>2</xdr:row>
      <xdr:rowOff>147637</xdr:rowOff>
    </xdr:from>
    <xdr:to>
      <xdr:col>20</xdr:col>
      <xdr:colOff>314325</xdr:colOff>
      <xdr:row>15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10AD26C-72A8-1EE7-FBFD-F80917FFC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J2" sqref="J2:J6"/>
    </sheetView>
  </sheetViews>
  <sheetFormatPr defaultRowHeight="15" x14ac:dyDescent="0.25"/>
  <cols>
    <col min="1" max="1" width="14" customWidth="1"/>
    <col min="2" max="5" width="12" bestFit="1" customWidth="1"/>
    <col min="6" max="6" width="12.140625" customWidth="1"/>
    <col min="7" max="9" width="12.140625" bestFit="1" customWidth="1"/>
    <col min="10" max="10" width="10" bestFit="1" customWidth="1"/>
    <col min="11" max="11" width="13.7109375" bestFit="1" customWidth="1"/>
  </cols>
  <sheetData>
    <row r="1" spans="1:11" ht="20.25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13</v>
      </c>
      <c r="G1" s="13" t="s">
        <v>14</v>
      </c>
      <c r="H1" s="13" t="s">
        <v>15</v>
      </c>
      <c r="I1" s="13" t="s">
        <v>16</v>
      </c>
      <c r="J1" s="13" t="s">
        <v>5</v>
      </c>
      <c r="K1" s="14" t="s">
        <v>6</v>
      </c>
    </row>
    <row r="2" spans="1:11" ht="18.75" x14ac:dyDescent="0.25">
      <c r="A2" s="15">
        <v>1</v>
      </c>
      <c r="B2" s="3">
        <v>1.04</v>
      </c>
      <c r="C2" s="3">
        <v>1.4</v>
      </c>
      <c r="D2" s="3">
        <v>1.69</v>
      </c>
      <c r="E2" s="3">
        <v>1.94</v>
      </c>
      <c r="F2" s="4">
        <f>ROUND(B12,2)</f>
        <v>0.19</v>
      </c>
      <c r="G2" s="4">
        <f>ROUND(C12,2)</f>
        <v>0.28000000000000003</v>
      </c>
      <c r="H2" s="4">
        <f>ROUND(D12,2)</f>
        <v>0.35</v>
      </c>
      <c r="I2" s="4">
        <f>ROUND(E12,2)</f>
        <v>0.41</v>
      </c>
      <c r="J2" s="4">
        <v>0.43</v>
      </c>
      <c r="K2" s="19">
        <v>0.42</v>
      </c>
    </row>
    <row r="3" spans="1:11" ht="18.75" x14ac:dyDescent="0.25">
      <c r="A3" s="15">
        <v>2</v>
      </c>
      <c r="B3" s="3">
        <v>1.04</v>
      </c>
      <c r="C3" s="3">
        <v>1.51</v>
      </c>
      <c r="D3" s="3">
        <v>1.7</v>
      </c>
      <c r="E3" s="3">
        <v>1.96</v>
      </c>
      <c r="F3" s="5"/>
      <c r="G3" s="5"/>
      <c r="H3" s="5"/>
      <c r="I3" s="5"/>
      <c r="J3" s="5"/>
      <c r="K3" s="20"/>
    </row>
    <row r="4" spans="1:11" ht="18.75" x14ac:dyDescent="0.25">
      <c r="A4" s="15">
        <v>3</v>
      </c>
      <c r="B4" s="3">
        <v>1.04</v>
      </c>
      <c r="C4" s="3">
        <v>1.51</v>
      </c>
      <c r="D4" s="3">
        <v>1.71</v>
      </c>
      <c r="E4" s="3">
        <v>1.95</v>
      </c>
      <c r="F4" s="5"/>
      <c r="G4" s="5"/>
      <c r="H4" s="5"/>
      <c r="I4" s="5"/>
      <c r="J4" s="5"/>
      <c r="K4" s="20"/>
    </row>
    <row r="5" spans="1:11" ht="18.75" x14ac:dyDescent="0.25">
      <c r="A5" s="15">
        <v>4</v>
      </c>
      <c r="B5" s="3">
        <v>1.04</v>
      </c>
      <c r="C5" s="3">
        <v>1.4</v>
      </c>
      <c r="D5" s="3">
        <v>1.7</v>
      </c>
      <c r="E5" s="3">
        <v>1.96</v>
      </c>
      <c r="F5" s="5"/>
      <c r="G5" s="5"/>
      <c r="H5" s="5"/>
      <c r="I5" s="5"/>
      <c r="J5" s="5"/>
      <c r="K5" s="20"/>
    </row>
    <row r="6" spans="1:11" ht="29.25" customHeight="1" thickBot="1" x14ac:dyDescent="0.3">
      <c r="A6" s="16"/>
      <c r="B6" s="17">
        <f>AVERAGE(B2:B5)/2</f>
        <v>0.52</v>
      </c>
      <c r="C6" s="17">
        <f>AVERAGE(C2:C5)/2</f>
        <v>0.72750000000000004</v>
      </c>
      <c r="D6" s="17">
        <f>AVERAGE(D2:D5)/2</f>
        <v>0.85</v>
      </c>
      <c r="E6" s="17">
        <f>AVERAGE(E2:E5)/2</f>
        <v>0.97624999999999995</v>
      </c>
      <c r="F6" s="18"/>
      <c r="G6" s="18"/>
      <c r="H6" s="18"/>
      <c r="I6" s="18"/>
      <c r="J6" s="18"/>
      <c r="K6" s="21"/>
    </row>
    <row r="7" spans="1:11" ht="42" customHeight="1" x14ac:dyDescent="0.25">
      <c r="A7" s="8" t="s">
        <v>12</v>
      </c>
      <c r="B7" s="9">
        <v>0.2</v>
      </c>
      <c r="C7" s="9">
        <v>0.4</v>
      </c>
      <c r="D7" s="9">
        <v>0.6</v>
      </c>
      <c r="E7" s="9">
        <v>0.8</v>
      </c>
      <c r="F7" s="10"/>
      <c r="G7" s="11"/>
      <c r="H7" s="11"/>
      <c r="I7" s="11"/>
      <c r="J7" s="11"/>
      <c r="K7" s="11"/>
    </row>
    <row r="8" spans="1:11" x14ac:dyDescent="0.25">
      <c r="A8" s="6" t="s">
        <v>8</v>
      </c>
      <c r="B8" s="6">
        <f>B7/B2</f>
        <v>0.19230769230769232</v>
      </c>
      <c r="C8" s="6">
        <f>C7/C2</f>
        <v>0.28571428571428575</v>
      </c>
      <c r="D8" s="6">
        <f>D7/D2</f>
        <v>0.35502958579881655</v>
      </c>
      <c r="E8" s="6">
        <f>E7/E2</f>
        <v>0.41237113402061859</v>
      </c>
    </row>
    <row r="9" spans="1:11" ht="15.75" thickBot="1" x14ac:dyDescent="0.3">
      <c r="A9" s="6" t="s">
        <v>9</v>
      </c>
      <c r="B9" s="6">
        <f>B7/B3</f>
        <v>0.19230769230769232</v>
      </c>
      <c r="C9" s="6">
        <f>C7/C3</f>
        <v>0.26490066225165565</v>
      </c>
      <c r="D9" s="6">
        <f>D7/D3</f>
        <v>0.35294117647058826</v>
      </c>
      <c r="E9" s="6">
        <f>E7/E3</f>
        <v>0.40816326530612246</v>
      </c>
    </row>
    <row r="10" spans="1:11" ht="19.5" thickBot="1" x14ac:dyDescent="0.3">
      <c r="A10" s="6" t="s">
        <v>10</v>
      </c>
      <c r="B10" s="6">
        <f>B7/B4</f>
        <v>0.19230769230769232</v>
      </c>
      <c r="C10" s="6">
        <f>C7/C4</f>
        <v>0.26490066225165565</v>
      </c>
      <c r="D10" s="6">
        <f>D7/D4</f>
        <v>0.35087719298245612</v>
      </c>
      <c r="E10" s="6">
        <f>E7/E4</f>
        <v>0.4102564102564103</v>
      </c>
      <c r="J10" s="1">
        <v>1.38</v>
      </c>
      <c r="K10">
        <f>AVERAGE(J10:J13)</f>
        <v>1.44</v>
      </c>
    </row>
    <row r="11" spans="1:11" ht="19.5" thickBot="1" x14ac:dyDescent="0.3">
      <c r="A11" s="6" t="s">
        <v>11</v>
      </c>
      <c r="B11" s="6">
        <f>B7/B5</f>
        <v>0.19230769230769232</v>
      </c>
      <c r="C11" s="6">
        <f>C7/C5</f>
        <v>0.28571428571428575</v>
      </c>
      <c r="D11" s="6">
        <f>D7/D5</f>
        <v>0.35294117647058826</v>
      </c>
      <c r="E11" s="6">
        <f>E7/E5</f>
        <v>0.40816326530612246</v>
      </c>
      <c r="J11" s="2">
        <v>1.49</v>
      </c>
    </row>
    <row r="12" spans="1:11" ht="19.5" thickBot="1" x14ac:dyDescent="0.3">
      <c r="A12" s="7" t="s">
        <v>7</v>
      </c>
      <c r="B12" s="7">
        <f>AVERAGE(B8:B11)</f>
        <v>0.19230769230769232</v>
      </c>
      <c r="C12" s="7">
        <f>AVERAGE(C8:C11)</f>
        <v>0.27530747398297073</v>
      </c>
      <c r="D12" s="7">
        <f t="shared" ref="C12:E12" si="0">AVERAGE(D8:D11)</f>
        <v>0.35294728293061228</v>
      </c>
      <c r="E12" s="7">
        <f t="shared" si="0"/>
        <v>0.40973851872231848</v>
      </c>
      <c r="J12" s="2">
        <v>1.49</v>
      </c>
    </row>
    <row r="13" spans="1:11" ht="19.5" thickBot="1" x14ac:dyDescent="0.3">
      <c r="J13" s="2">
        <v>1.4</v>
      </c>
    </row>
    <row r="16" spans="1:11" x14ac:dyDescent="0.25">
      <c r="A16" t="s">
        <v>12</v>
      </c>
      <c r="B16" t="s">
        <v>18</v>
      </c>
      <c r="C16" t="s">
        <v>17</v>
      </c>
      <c r="F16">
        <f>(I2-F2)/(E6-B6)</f>
        <v>0.48219178082191783</v>
      </c>
    </row>
    <row r="17" spans="1:6" x14ac:dyDescent="0.25">
      <c r="A17">
        <v>0.2</v>
      </c>
      <c r="B17">
        <v>0.19</v>
      </c>
      <c r="C17">
        <v>0.52</v>
      </c>
    </row>
    <row r="18" spans="1:6" x14ac:dyDescent="0.25">
      <c r="A18">
        <v>0.4</v>
      </c>
      <c r="B18">
        <v>0.28000000000000003</v>
      </c>
      <c r="C18">
        <v>0.73</v>
      </c>
      <c r="F18">
        <f>(I2-F2)/(E6-B6)</f>
        <v>0.48219178082191783</v>
      </c>
    </row>
    <row r="19" spans="1:6" x14ac:dyDescent="0.25">
      <c r="A19">
        <v>0.6</v>
      </c>
      <c r="B19">
        <v>0.35</v>
      </c>
      <c r="C19">
        <v>0.85</v>
      </c>
    </row>
    <row r="20" spans="1:6" x14ac:dyDescent="0.25">
      <c r="A20">
        <v>0.8</v>
      </c>
      <c r="B20">
        <v>0.41</v>
      </c>
      <c r="C20">
        <v>0.98</v>
      </c>
    </row>
  </sheetData>
  <mergeCells count="6">
    <mergeCell ref="I2:I6"/>
    <mergeCell ref="J2:J6"/>
    <mergeCell ref="K2:K6"/>
    <mergeCell ref="F2:F6"/>
    <mergeCell ref="G2:G6"/>
    <mergeCell ref="H2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39AF-D56F-48C0-A74A-5649BA41FC21}">
  <dimension ref="A1:K7"/>
  <sheetViews>
    <sheetView workbookViewId="0">
      <selection activeCell="C7" sqref="C7:F7"/>
    </sheetView>
  </sheetViews>
  <sheetFormatPr defaultRowHeight="15" x14ac:dyDescent="0.25"/>
  <cols>
    <col min="1" max="1" width="3.85546875" bestFit="1" customWidth="1"/>
    <col min="2" max="2" width="8.140625" customWidth="1"/>
    <col min="3" max="3" width="6.42578125" bestFit="1" customWidth="1"/>
    <col min="4" max="4" width="6.7109375" bestFit="1" customWidth="1"/>
    <col min="5" max="6" width="6.42578125" bestFit="1" customWidth="1"/>
    <col min="7" max="10" width="8.85546875" bestFit="1" customWidth="1"/>
    <col min="11" max="11" width="13.28515625" customWidth="1"/>
  </cols>
  <sheetData>
    <row r="1" spans="1:11" ht="18.75" x14ac:dyDescent="0.25">
      <c r="A1" s="22" t="s">
        <v>0</v>
      </c>
      <c r="B1" s="22" t="s">
        <v>24</v>
      </c>
      <c r="C1" s="22" t="s">
        <v>1</v>
      </c>
      <c r="D1" s="22" t="s">
        <v>19</v>
      </c>
      <c r="E1" s="22" t="s">
        <v>3</v>
      </c>
      <c r="F1" s="22" t="s">
        <v>4</v>
      </c>
      <c r="G1" s="22" t="s">
        <v>29</v>
      </c>
      <c r="H1" s="22" t="s">
        <v>25</v>
      </c>
      <c r="I1" s="22" t="s">
        <v>26</v>
      </c>
      <c r="J1" s="22" t="s">
        <v>27</v>
      </c>
      <c r="K1" s="23" t="s">
        <v>28</v>
      </c>
    </row>
    <row r="2" spans="1:11" ht="18.75" x14ac:dyDescent="0.25">
      <c r="A2" s="24">
        <v>1</v>
      </c>
      <c r="B2" s="24">
        <v>8</v>
      </c>
      <c r="C2" s="24">
        <v>1.27</v>
      </c>
      <c r="D2" s="24">
        <v>1.74</v>
      </c>
      <c r="E2" s="24">
        <v>2.09</v>
      </c>
      <c r="F2" s="24">
        <v>2.5</v>
      </c>
      <c r="G2" s="24">
        <f>(2*C7)/(C2^2)</f>
        <v>0.24800049600099203</v>
      </c>
      <c r="H2" s="24">
        <f t="shared" ref="H2:J2" si="0">(2*D7)/(D2^2)</f>
        <v>0.26423569824283261</v>
      </c>
      <c r="I2" s="24">
        <f>(2*E7)/(E2^2)</f>
        <v>0.27471898537121409</v>
      </c>
      <c r="J2" s="24">
        <f t="shared" si="0"/>
        <v>0.25600000000000001</v>
      </c>
      <c r="K2" s="6">
        <f>AVERAGE(G2:J2)</f>
        <v>0.26073879490375967</v>
      </c>
    </row>
    <row r="3" spans="1:11" ht="18.75" x14ac:dyDescent="0.25">
      <c r="A3" s="24">
        <v>2</v>
      </c>
      <c r="B3" s="24">
        <v>10</v>
      </c>
      <c r="C3" s="24">
        <v>1.24</v>
      </c>
      <c r="D3" s="24">
        <v>1.69</v>
      </c>
      <c r="E3" s="24">
        <v>2.04</v>
      </c>
      <c r="F3" s="24">
        <v>2.2999999999999998</v>
      </c>
      <c r="G3" s="24">
        <f>(2*C7)/(C3^2)</f>
        <v>0.26014568158168577</v>
      </c>
      <c r="H3" s="24">
        <f>(2*D7)/(D3^2)</f>
        <v>0.28010223731662059</v>
      </c>
      <c r="I3" s="24">
        <f t="shared" ref="H3:J3" si="1">(2*E7)/(E3^2)</f>
        <v>0.28835063437139563</v>
      </c>
      <c r="J3" s="24">
        <f t="shared" si="1"/>
        <v>0.30245746691871461</v>
      </c>
      <c r="K3" s="6">
        <f t="shared" ref="K3:K7" si="2">AVERAGE(G3:J3)</f>
        <v>0.28276400504710414</v>
      </c>
    </row>
    <row r="4" spans="1:11" ht="18.75" x14ac:dyDescent="0.25">
      <c r="A4" s="24">
        <v>3</v>
      </c>
      <c r="B4" s="24">
        <v>12</v>
      </c>
      <c r="C4" s="24">
        <v>1.04</v>
      </c>
      <c r="D4" s="24">
        <v>1.43</v>
      </c>
      <c r="E4" s="24">
        <v>1.7</v>
      </c>
      <c r="F4" s="24">
        <v>1.95</v>
      </c>
      <c r="G4" s="24">
        <f>(2*C7)/(C4^2)</f>
        <v>0.36982248520710059</v>
      </c>
      <c r="H4" s="24">
        <f t="shared" ref="H4:J4" si="3">(2*D7)/(D4^2)</f>
        <v>0.3912171744339577</v>
      </c>
      <c r="I4" s="24">
        <f t="shared" si="3"/>
        <v>0.41522491349480972</v>
      </c>
      <c r="J4" s="24">
        <f t="shared" si="3"/>
        <v>0.42077580539119008</v>
      </c>
      <c r="K4" s="6">
        <f t="shared" si="2"/>
        <v>0.39926009463176448</v>
      </c>
    </row>
    <row r="5" spans="1:11" ht="18.75" x14ac:dyDescent="0.25">
      <c r="A5" s="24">
        <v>4</v>
      </c>
      <c r="B5" s="24">
        <v>14</v>
      </c>
      <c r="C5" s="24">
        <v>1.03</v>
      </c>
      <c r="D5" s="24">
        <v>1.39</v>
      </c>
      <c r="E5" s="24">
        <v>1.67</v>
      </c>
      <c r="F5" s="24">
        <v>1.9</v>
      </c>
      <c r="G5" s="24">
        <f>(2*C7)/(C5^2)</f>
        <v>0.3770383636535018</v>
      </c>
      <c r="H5" s="24">
        <f t="shared" ref="H5:J5" si="4">(2*D7)/(D5^2)</f>
        <v>0.41405724341390204</v>
      </c>
      <c r="I5" s="24">
        <f t="shared" si="4"/>
        <v>0.43027717021047723</v>
      </c>
      <c r="J5" s="24">
        <f t="shared" si="4"/>
        <v>0.44321329639889201</v>
      </c>
      <c r="K5" s="6">
        <f t="shared" si="2"/>
        <v>0.41614651841919326</v>
      </c>
    </row>
    <row r="6" spans="1:11" ht="18.75" x14ac:dyDescent="0.25">
      <c r="A6" s="24">
        <v>5</v>
      </c>
      <c r="B6" s="24">
        <v>16</v>
      </c>
      <c r="C6" s="24">
        <v>0.9</v>
      </c>
      <c r="D6" s="24">
        <v>1.23</v>
      </c>
      <c r="E6" s="24">
        <v>1.49</v>
      </c>
      <c r="F6" s="24">
        <v>1.73</v>
      </c>
      <c r="G6" s="24">
        <f>(2*C7)/(C6^2)</f>
        <v>0.49382716049382713</v>
      </c>
      <c r="H6" s="24">
        <f t="shared" ref="H6:J6" si="5">(2*D7)/(D6^2)</f>
        <v>0.52878577566263474</v>
      </c>
      <c r="I6" s="24">
        <f t="shared" si="5"/>
        <v>0.54051619296428088</v>
      </c>
      <c r="J6" s="24">
        <f t="shared" si="5"/>
        <v>0.53459854990143341</v>
      </c>
      <c r="K6" s="6">
        <f t="shared" si="2"/>
        <v>0.52443191975554404</v>
      </c>
    </row>
    <row r="7" spans="1:11" ht="18.75" x14ac:dyDescent="0.25">
      <c r="C7" s="25">
        <v>0.2</v>
      </c>
      <c r="D7" s="25">
        <v>0.4</v>
      </c>
      <c r="E7" s="25">
        <v>0.6</v>
      </c>
      <c r="F7" s="25">
        <v>0.8</v>
      </c>
      <c r="K7" s="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FBB3-69A1-4CA9-AA15-7E135B6311E6}">
  <dimension ref="A1:M11"/>
  <sheetViews>
    <sheetView tabSelected="1" workbookViewId="0">
      <selection activeCell="C2" sqref="C2:K6"/>
    </sheetView>
  </sheetViews>
  <sheetFormatPr defaultRowHeight="15" x14ac:dyDescent="0.25"/>
  <cols>
    <col min="1" max="1" width="10.5703125" customWidth="1"/>
    <col min="9" max="9" width="12" customWidth="1"/>
  </cols>
  <sheetData>
    <row r="1" spans="1:13" ht="19.5" thickBot="1" x14ac:dyDescent="0.3">
      <c r="A1" s="26" t="s">
        <v>35</v>
      </c>
      <c r="B1" s="27" t="s">
        <v>34</v>
      </c>
      <c r="C1" s="27" t="s">
        <v>30</v>
      </c>
      <c r="D1" s="27" t="s">
        <v>31</v>
      </c>
      <c r="E1" s="27" t="s">
        <v>32</v>
      </c>
      <c r="F1" s="27" t="s">
        <v>33</v>
      </c>
      <c r="G1" s="27" t="s">
        <v>20</v>
      </c>
      <c r="H1" s="27" t="s">
        <v>21</v>
      </c>
      <c r="I1" s="27" t="s">
        <v>23</v>
      </c>
      <c r="J1" s="27" t="s">
        <v>22</v>
      </c>
      <c r="K1" s="27" t="s">
        <v>36</v>
      </c>
      <c r="L1" s="27"/>
      <c r="M1" s="28"/>
    </row>
    <row r="2" spans="1:13" ht="19.5" thickBot="1" x14ac:dyDescent="0.3">
      <c r="A2" s="31">
        <v>220</v>
      </c>
      <c r="B2" s="32">
        <f>1/(A2/1000)</f>
        <v>4.5454545454545459</v>
      </c>
      <c r="C2" s="32">
        <v>0.94</v>
      </c>
      <c r="D2" s="32">
        <v>1.29</v>
      </c>
      <c r="E2" s="32">
        <v>1.57</v>
      </c>
      <c r="F2" s="32">
        <v>1.8</v>
      </c>
      <c r="G2" s="32">
        <f>(2*C7)/(C2^2)</f>
        <v>0.45269352648257133</v>
      </c>
      <c r="H2" s="32">
        <f>(2*D7)/(D2^2)</f>
        <v>0.48074034012379063</v>
      </c>
      <c r="I2" s="32">
        <f t="shared" ref="H2:J2" si="0">(2*E7)/(E2^2)</f>
        <v>0.4868351657268043</v>
      </c>
      <c r="J2" s="32">
        <f t="shared" si="0"/>
        <v>0.49382716049382713</v>
      </c>
      <c r="K2" s="32">
        <f>AVERAGE(G2:J2)</f>
        <v>0.47852404820674832</v>
      </c>
      <c r="L2" s="29"/>
      <c r="M2" s="28"/>
    </row>
    <row r="3" spans="1:13" ht="19.5" thickBot="1" x14ac:dyDescent="0.3">
      <c r="A3" s="31">
        <v>250</v>
      </c>
      <c r="B3" s="32">
        <f t="shared" ref="B3:B6" si="1">1/(A3/1000)</f>
        <v>4</v>
      </c>
      <c r="C3" s="32">
        <v>0.96</v>
      </c>
      <c r="D3" s="32">
        <v>1.32</v>
      </c>
      <c r="E3" s="32">
        <v>1.6</v>
      </c>
      <c r="F3" s="32">
        <v>1.84</v>
      </c>
      <c r="G3" s="32">
        <f>(2*C7)/(C3^2)</f>
        <v>0.43402777777777779</v>
      </c>
      <c r="H3" s="32">
        <f>(2*D7)/(D3^2)</f>
        <v>0.4591368227731864</v>
      </c>
      <c r="I3" s="32">
        <f t="shared" ref="H3:J3" si="2">(2*E7)/(E3^2)</f>
        <v>0.46874999999999989</v>
      </c>
      <c r="J3" s="32">
        <f t="shared" si="2"/>
        <v>0.47258979206049151</v>
      </c>
      <c r="K3" s="32">
        <f t="shared" ref="K3:K6" si="3">AVERAGE(G3:J3)</f>
        <v>0.45862609815286393</v>
      </c>
      <c r="L3" s="29"/>
      <c r="M3" s="28"/>
    </row>
    <row r="4" spans="1:13" ht="19.5" thickBot="1" x14ac:dyDescent="0.3">
      <c r="A4" s="31">
        <v>280</v>
      </c>
      <c r="B4" s="32">
        <f t="shared" si="1"/>
        <v>3.5714285714285712</v>
      </c>
      <c r="C4" s="32">
        <v>0.98</v>
      </c>
      <c r="D4" s="32">
        <v>1.35</v>
      </c>
      <c r="E4" s="32">
        <v>1.64</v>
      </c>
      <c r="F4" s="32">
        <v>1.89</v>
      </c>
      <c r="G4" s="32">
        <f>(2*$C$7)/(C4^2)</f>
        <v>0.41649312786339032</v>
      </c>
      <c r="H4" s="32">
        <f>(2*D7)/(D4^2)</f>
        <v>0.43895747599451301</v>
      </c>
      <c r="I4" s="32">
        <f>(2*E7)/(E4^2)</f>
        <v>0.44616299821534805</v>
      </c>
      <c r="J4" s="32">
        <f>(2*F7)/(F4^2)</f>
        <v>0.44791579183113578</v>
      </c>
      <c r="K4" s="32">
        <f t="shared" si="3"/>
        <v>0.43738234847609681</v>
      </c>
      <c r="L4" s="29"/>
      <c r="M4" s="28"/>
    </row>
    <row r="5" spans="1:13" ht="19.5" thickBot="1" x14ac:dyDescent="0.3">
      <c r="A5" s="31">
        <v>310</v>
      </c>
      <c r="B5" s="32">
        <f t="shared" si="1"/>
        <v>3.2258064516129035</v>
      </c>
      <c r="C5" s="32">
        <v>1.02</v>
      </c>
      <c r="D5" s="32">
        <v>1.4</v>
      </c>
      <c r="E5" s="32">
        <v>1.7</v>
      </c>
      <c r="F5" s="32">
        <v>1.96</v>
      </c>
      <c r="G5" s="32">
        <f>(2*$C$7)/(C5^2)</f>
        <v>0.38446751249519417</v>
      </c>
      <c r="H5" s="32">
        <f>(2*D7)/(D5^2)</f>
        <v>0.40816326530612251</v>
      </c>
      <c r="I5" s="32">
        <f t="shared" ref="I5:J5" si="4">(2*E7)/(E5^2)</f>
        <v>0.41522491349480972</v>
      </c>
      <c r="J5" s="32">
        <f t="shared" si="4"/>
        <v>0.41649312786339032</v>
      </c>
      <c r="K5" s="32">
        <f t="shared" si="3"/>
        <v>0.4060872047898792</v>
      </c>
      <c r="L5" s="29"/>
      <c r="M5" s="28"/>
    </row>
    <row r="6" spans="1:13" ht="19.5" thickBot="1" x14ac:dyDescent="0.3">
      <c r="A6" s="31">
        <v>340</v>
      </c>
      <c r="B6" s="32">
        <f t="shared" si="1"/>
        <v>2.9411764705882351</v>
      </c>
      <c r="C6" s="32">
        <v>1.17</v>
      </c>
      <c r="D6" s="32">
        <v>1.6</v>
      </c>
      <c r="E6" s="32">
        <v>1.93</v>
      </c>
      <c r="F6" s="32">
        <v>2.21</v>
      </c>
      <c r="G6" s="32">
        <f>(2*$C$7)/(C6^2)</f>
        <v>0.2922054204105487</v>
      </c>
      <c r="H6" s="32">
        <f>(2*D7)/(D6^2)</f>
        <v>0.31249999999999994</v>
      </c>
      <c r="I6" s="32">
        <f t="shared" ref="I6:J6" si="5">(2*E7)/(E6^2)</f>
        <v>0.32215629949797309</v>
      </c>
      <c r="J6" s="32">
        <f t="shared" si="5"/>
        <v>0.32759362011424831</v>
      </c>
      <c r="K6" s="32">
        <f t="shared" si="3"/>
        <v>0.31361383500569251</v>
      </c>
      <c r="L6" s="29"/>
      <c r="M6" s="28"/>
    </row>
    <row r="7" spans="1:13" ht="18.75" x14ac:dyDescent="0.25">
      <c r="C7" s="25">
        <v>0.2</v>
      </c>
      <c r="D7" s="25">
        <v>0.4</v>
      </c>
      <c r="E7" s="25">
        <v>0.6</v>
      </c>
      <c r="F7" s="25">
        <v>0.8</v>
      </c>
    </row>
    <row r="11" spans="1:13" x14ac:dyDescent="0.25">
      <c r="G11" s="30" t="s">
        <v>37</v>
      </c>
      <c r="H11">
        <f>(1/0.01)*0.0905</f>
        <v>9.0499999999999989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Глеб Назаров</cp:lastModifiedBy>
  <dcterms:created xsi:type="dcterms:W3CDTF">2015-06-05T18:19:34Z</dcterms:created>
  <dcterms:modified xsi:type="dcterms:W3CDTF">2025-11-02T13:15:07Z</dcterms:modified>
</cp:coreProperties>
</file>