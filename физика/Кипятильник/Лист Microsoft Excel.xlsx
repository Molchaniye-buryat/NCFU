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NCFU\физика\Кипятильник\"/>
    </mc:Choice>
  </mc:AlternateContent>
  <xr:revisionPtr revIDLastSave="0" documentId="13_ncr:1_{58E4C230-5DAD-4CFC-9476-5FC241AD3D5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5" i="1" l="1"/>
  <c r="E64" i="1"/>
  <c r="H63" i="1"/>
  <c r="G57" i="1"/>
  <c r="E34" i="1"/>
  <c r="A62" i="1"/>
  <c r="E42" i="1"/>
  <c r="E43" i="1"/>
  <c r="E45" i="1"/>
  <c r="E47" i="1"/>
  <c r="E48" i="1"/>
  <c r="E39" i="1"/>
  <c r="D40" i="1"/>
  <c r="E40" i="1" s="1"/>
  <c r="D41" i="1"/>
  <c r="E41" i="1" s="1"/>
  <c r="D42" i="1"/>
  <c r="D43" i="1"/>
  <c r="D44" i="1"/>
  <c r="E44" i="1" s="1"/>
  <c r="D45" i="1"/>
  <c r="D46" i="1"/>
  <c r="E46" i="1" s="1"/>
  <c r="D47" i="1"/>
  <c r="D48" i="1"/>
  <c r="D49" i="1"/>
  <c r="E49" i="1" s="1"/>
  <c r="D39" i="1"/>
  <c r="C40" i="1"/>
  <c r="C41" i="1"/>
  <c r="C42" i="1"/>
  <c r="C43" i="1"/>
  <c r="C44" i="1"/>
  <c r="C45" i="1"/>
  <c r="C46" i="1"/>
  <c r="C47" i="1"/>
  <c r="C48" i="1"/>
  <c r="C49" i="1"/>
  <c r="C39" i="1"/>
</calcChain>
</file>

<file path=xl/sharedStrings.xml><?xml version="1.0" encoding="utf-8"?>
<sst xmlns="http://schemas.openxmlformats.org/spreadsheetml/2006/main" count="24" uniqueCount="22">
  <si>
    <t>№</t>
  </si>
  <si>
    <t>t, °C</t>
  </si>
  <si>
    <t xml:space="preserve">Cu </t>
  </si>
  <si>
    <t>(Ом)</t>
  </si>
  <si>
    <t>NTC </t>
  </si>
  <si>
    <t>PTC (кОм)</t>
  </si>
  <si>
    <t>Si </t>
  </si>
  <si>
    <t>(кОм)</t>
  </si>
  <si>
    <t>3.0</t>
  </si>
  <si>
    <t>=</t>
  </si>
  <si>
    <t xml:space="preserve"> -Определение величины температурного коэффициента сопротивления для медного проводника</t>
  </si>
  <si>
    <t>b=</t>
  </si>
  <si>
    <t>T, K</t>
  </si>
  <si>
    <t>1/T, 1/К</t>
  </si>
  <si>
    <t>R (Ом)</t>
  </si>
  <si>
    <t>ln R</t>
  </si>
  <si>
    <t>К</t>
  </si>
  <si>
    <t>°C⁻¹</t>
  </si>
  <si>
    <t>ΔE=</t>
  </si>
  <si>
    <t xml:space="preserve"> -постоянная Больцмана (K)</t>
  </si>
  <si>
    <t>Дж</t>
  </si>
  <si>
    <t>эВ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</si>
</sst>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rgb="FF000000"/>
      <name val="Times New Roman"/>
      <family val="1"/>
      <charset val="204"/>
    </font>
    <font>
      <sz val="12"/>
      <color rgb="FF3F3F3F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2" xfId="0" applyNumberFormat="1" applyFont="1" applyBorder="1" applyAlignment="1">
      <alignment horizontal="center" vertical="center" wrapText="1"/>
    </xf>
    <xf numFmtId="0" fontId="1" fillId="0" borderId="2" xfId="0" applyNumberFormat="1" applyFont="1" applyBorder="1" applyAlignment="1">
      <alignment horizontal="center" vertical="center" wrapText="1"/>
    </xf>
    <xf numFmtId="0" fontId="1" fillId="0" borderId="3" xfId="0" applyNumberFormat="1" applyFont="1" applyBorder="1" applyAlignment="1">
      <alignment horizontal="center" vertical="center" wrapText="1"/>
    </xf>
    <xf numFmtId="0" fontId="1" fillId="0" borderId="3" xfId="0" applyNumberFormat="1" applyFont="1" applyBorder="1" applyAlignment="1">
      <alignment horizontal="center" vertical="center" wrapText="1"/>
    </xf>
    <xf numFmtId="0" fontId="1" fillId="0" borderId="1" xfId="0" applyNumberFormat="1" applyFont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right"/>
    </xf>
    <xf numFmtId="0" fontId="2" fillId="2" borderId="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NumberFormat="1"/>
    <xf numFmtId="49" fontId="0" fillId="0" borderId="0" xfId="0" applyNumberFormat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Лист1!$B$3:$B$13</c:f>
              <c:numCache>
                <c:formatCode>General</c:formatCode>
                <c:ptCount val="11"/>
                <c:pt idx="0">
                  <c:v>30</c:v>
                </c:pt>
                <c:pt idx="1">
                  <c:v>35</c:v>
                </c:pt>
                <c:pt idx="2">
                  <c:v>40</c:v>
                </c:pt>
                <c:pt idx="3">
                  <c:v>45</c:v>
                </c:pt>
                <c:pt idx="4">
                  <c:v>50</c:v>
                </c:pt>
                <c:pt idx="5">
                  <c:v>55</c:v>
                </c:pt>
                <c:pt idx="6">
                  <c:v>60</c:v>
                </c:pt>
                <c:pt idx="7">
                  <c:v>65</c:v>
                </c:pt>
                <c:pt idx="8">
                  <c:v>70</c:v>
                </c:pt>
                <c:pt idx="9">
                  <c:v>75</c:v>
                </c:pt>
                <c:pt idx="10">
                  <c:v>80</c:v>
                </c:pt>
              </c:numCache>
            </c:numRef>
          </c:xVal>
          <c:yVal>
            <c:numRef>
              <c:f>Лист1!$C$3:$C$13</c:f>
              <c:numCache>
                <c:formatCode>General</c:formatCode>
                <c:ptCount val="11"/>
                <c:pt idx="0">
                  <c:v>347</c:v>
                </c:pt>
                <c:pt idx="1">
                  <c:v>355</c:v>
                </c:pt>
                <c:pt idx="2">
                  <c:v>363</c:v>
                </c:pt>
                <c:pt idx="3">
                  <c:v>369</c:v>
                </c:pt>
                <c:pt idx="4">
                  <c:v>375</c:v>
                </c:pt>
                <c:pt idx="5">
                  <c:v>380</c:v>
                </c:pt>
                <c:pt idx="6">
                  <c:v>385</c:v>
                </c:pt>
                <c:pt idx="7">
                  <c:v>394</c:v>
                </c:pt>
                <c:pt idx="8">
                  <c:v>403</c:v>
                </c:pt>
                <c:pt idx="9">
                  <c:v>408</c:v>
                </c:pt>
                <c:pt idx="10">
                  <c:v>416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4C6-4BCC-A3B1-5D73D9515E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9366271"/>
        <c:axId val="1169356671"/>
      </c:scatterChart>
      <c:valAx>
        <c:axId val="1169366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69356671"/>
        <c:crosses val="autoZero"/>
        <c:crossBetween val="midCat"/>
      </c:valAx>
      <c:valAx>
        <c:axId val="1169356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693662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NTC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Лист1!$B$3:$B$13</c:f>
              <c:numCache>
                <c:formatCode>General</c:formatCode>
                <c:ptCount val="11"/>
                <c:pt idx="0">
                  <c:v>30</c:v>
                </c:pt>
                <c:pt idx="1">
                  <c:v>35</c:v>
                </c:pt>
                <c:pt idx="2">
                  <c:v>40</c:v>
                </c:pt>
                <c:pt idx="3">
                  <c:v>45</c:v>
                </c:pt>
                <c:pt idx="4">
                  <c:v>50</c:v>
                </c:pt>
                <c:pt idx="5">
                  <c:v>55</c:v>
                </c:pt>
                <c:pt idx="6">
                  <c:v>60</c:v>
                </c:pt>
                <c:pt idx="7">
                  <c:v>65</c:v>
                </c:pt>
                <c:pt idx="8">
                  <c:v>70</c:v>
                </c:pt>
                <c:pt idx="9">
                  <c:v>75</c:v>
                </c:pt>
                <c:pt idx="10">
                  <c:v>80</c:v>
                </c:pt>
              </c:numCache>
            </c:numRef>
          </c:xVal>
          <c:yVal>
            <c:numRef>
              <c:f>Лист1!$D$3:$D$13</c:f>
              <c:numCache>
                <c:formatCode>General</c:formatCode>
                <c:ptCount val="11"/>
                <c:pt idx="0">
                  <c:v>818</c:v>
                </c:pt>
                <c:pt idx="1">
                  <c:v>673</c:v>
                </c:pt>
                <c:pt idx="2">
                  <c:v>565</c:v>
                </c:pt>
                <c:pt idx="3">
                  <c:v>476</c:v>
                </c:pt>
                <c:pt idx="4">
                  <c:v>402</c:v>
                </c:pt>
                <c:pt idx="5">
                  <c:v>345</c:v>
                </c:pt>
                <c:pt idx="6">
                  <c:v>292</c:v>
                </c:pt>
                <c:pt idx="7">
                  <c:v>249</c:v>
                </c:pt>
                <c:pt idx="8">
                  <c:v>211</c:v>
                </c:pt>
                <c:pt idx="9">
                  <c:v>182</c:v>
                </c:pt>
                <c:pt idx="10">
                  <c:v>155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4D1-4E01-A90A-70094B9291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9365791"/>
        <c:axId val="1169362911"/>
      </c:scatterChart>
      <c:valAx>
        <c:axId val="1169365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69362911"/>
        <c:crosses val="autoZero"/>
        <c:crossBetween val="midCat"/>
      </c:valAx>
      <c:valAx>
        <c:axId val="1169362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693657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PTC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6.6580927384076991E-2"/>
          <c:y val="0.17171296296296298"/>
          <c:w val="0.90286351706036749"/>
          <c:h val="0.72088764946048411"/>
        </c:manualLayout>
      </c:layout>
      <c:scatterChart>
        <c:scatterStyle val="smoothMarker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Лист1!$B$3:$B$13</c:f>
              <c:numCache>
                <c:formatCode>General</c:formatCode>
                <c:ptCount val="11"/>
                <c:pt idx="0">
                  <c:v>30</c:v>
                </c:pt>
                <c:pt idx="1">
                  <c:v>35</c:v>
                </c:pt>
                <c:pt idx="2">
                  <c:v>40</c:v>
                </c:pt>
                <c:pt idx="3">
                  <c:v>45</c:v>
                </c:pt>
                <c:pt idx="4">
                  <c:v>50</c:v>
                </c:pt>
                <c:pt idx="5">
                  <c:v>55</c:v>
                </c:pt>
                <c:pt idx="6">
                  <c:v>60</c:v>
                </c:pt>
                <c:pt idx="7">
                  <c:v>65</c:v>
                </c:pt>
                <c:pt idx="8">
                  <c:v>70</c:v>
                </c:pt>
                <c:pt idx="9">
                  <c:v>75</c:v>
                </c:pt>
                <c:pt idx="10">
                  <c:v>80</c:v>
                </c:pt>
              </c:numCache>
            </c:numRef>
          </c:xVal>
          <c:yVal>
            <c:numRef>
              <c:f>Лист1!$E$3:$E$13</c:f>
              <c:numCache>
                <c:formatCode>General</c:formatCode>
                <c:ptCount val="11"/>
                <c:pt idx="0">
                  <c:v>0.191</c:v>
                </c:pt>
                <c:pt idx="1">
                  <c:v>0.21299999999999999</c:v>
                </c:pt>
                <c:pt idx="2">
                  <c:v>0.252</c:v>
                </c:pt>
                <c:pt idx="3">
                  <c:v>0.3</c:v>
                </c:pt>
                <c:pt idx="4">
                  <c:v>0.36499999999999999</c:v>
                </c:pt>
                <c:pt idx="5">
                  <c:v>0.50800000000000001</c:v>
                </c:pt>
                <c:pt idx="6">
                  <c:v>0.73699999999999999</c:v>
                </c:pt>
                <c:pt idx="7" formatCode="0.00">
                  <c:v>1.76</c:v>
                </c:pt>
                <c:pt idx="8" formatCode="0.00">
                  <c:v>3.72</c:v>
                </c:pt>
                <c:pt idx="9" formatCode="0.00">
                  <c:v>7.2</c:v>
                </c:pt>
                <c:pt idx="10" formatCode="0.00">
                  <c:v>11.7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FA9-4563-9055-090C6E5189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9394591"/>
        <c:axId val="1169398911"/>
      </c:scatterChart>
      <c:valAx>
        <c:axId val="1169394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69398911"/>
        <c:crosses val="autoZero"/>
        <c:crossBetween val="midCat"/>
      </c:valAx>
      <c:valAx>
        <c:axId val="1169398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693945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Si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Лист1!$B$3:$B$13</c:f>
              <c:numCache>
                <c:formatCode>General</c:formatCode>
                <c:ptCount val="11"/>
                <c:pt idx="0">
                  <c:v>30</c:v>
                </c:pt>
                <c:pt idx="1">
                  <c:v>35</c:v>
                </c:pt>
                <c:pt idx="2">
                  <c:v>40</c:v>
                </c:pt>
                <c:pt idx="3">
                  <c:v>45</c:v>
                </c:pt>
                <c:pt idx="4">
                  <c:v>50</c:v>
                </c:pt>
                <c:pt idx="5">
                  <c:v>55</c:v>
                </c:pt>
                <c:pt idx="6">
                  <c:v>60</c:v>
                </c:pt>
                <c:pt idx="7">
                  <c:v>65</c:v>
                </c:pt>
                <c:pt idx="8">
                  <c:v>70</c:v>
                </c:pt>
                <c:pt idx="9">
                  <c:v>75</c:v>
                </c:pt>
                <c:pt idx="10">
                  <c:v>80</c:v>
                </c:pt>
              </c:numCache>
            </c:numRef>
          </c:xVal>
          <c:yVal>
            <c:numRef>
              <c:f>Лист1!$F$3:$F$13</c:f>
              <c:numCache>
                <c:formatCode>General</c:formatCode>
                <c:ptCount val="11"/>
                <c:pt idx="0">
                  <c:v>27.9</c:v>
                </c:pt>
                <c:pt idx="1">
                  <c:v>17.5</c:v>
                </c:pt>
                <c:pt idx="2">
                  <c:v>13.8</c:v>
                </c:pt>
                <c:pt idx="3">
                  <c:v>13.8</c:v>
                </c:pt>
                <c:pt idx="4">
                  <c:v>18.100000000000001</c:v>
                </c:pt>
                <c:pt idx="5">
                  <c:v>20.3</c:v>
                </c:pt>
                <c:pt idx="6">
                  <c:v>9.8000000000000007</c:v>
                </c:pt>
                <c:pt idx="7">
                  <c:v>8.9</c:v>
                </c:pt>
                <c:pt idx="8">
                  <c:v>3.2</c:v>
                </c:pt>
                <c:pt idx="9">
                  <c:v>8.6</c:v>
                </c:pt>
                <c:pt idx="10">
                  <c:v>7.7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BD0-48E6-8490-F978F79A41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9403231"/>
        <c:axId val="1169405631"/>
      </c:scatterChart>
      <c:valAx>
        <c:axId val="1169403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69405631"/>
        <c:crosses val="autoZero"/>
        <c:crossBetween val="midCat"/>
      </c:valAx>
      <c:valAx>
        <c:axId val="1169405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694032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График 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ln R </a:t>
            </a:r>
            <a:r>
              <a:rPr lang="ru-RU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от 1/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T</a:t>
            </a:r>
            <a:endParaRPr lang="ru-RU" sz="11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3.6251312335958005E-2"/>
                  <c:y val="-2.884004082822980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Лист1!$C$39:$C$49</c:f>
              <c:numCache>
                <c:formatCode>General</c:formatCode>
                <c:ptCount val="11"/>
                <c:pt idx="0">
                  <c:v>3.3003300330033004E-3</c:v>
                </c:pt>
                <c:pt idx="1">
                  <c:v>3.246753246753247E-3</c:v>
                </c:pt>
                <c:pt idx="2">
                  <c:v>3.1948881789137379E-3</c:v>
                </c:pt>
                <c:pt idx="3">
                  <c:v>3.1446540880503146E-3</c:v>
                </c:pt>
                <c:pt idx="4">
                  <c:v>3.0959752321981426E-3</c:v>
                </c:pt>
                <c:pt idx="5">
                  <c:v>3.0487804878048782E-3</c:v>
                </c:pt>
                <c:pt idx="6">
                  <c:v>3.003003003003003E-3</c:v>
                </c:pt>
                <c:pt idx="7">
                  <c:v>2.9585798816568047E-3</c:v>
                </c:pt>
                <c:pt idx="8">
                  <c:v>2.9154518950437317E-3</c:v>
                </c:pt>
                <c:pt idx="9">
                  <c:v>2.8735632183908046E-3</c:v>
                </c:pt>
                <c:pt idx="10">
                  <c:v>2.8328611898016999E-3</c:v>
                </c:pt>
              </c:numCache>
            </c:numRef>
          </c:xVal>
          <c:yVal>
            <c:numRef>
              <c:f>Лист1!$E$39:$E$49</c:f>
              <c:numCache>
                <c:formatCode>General</c:formatCode>
                <c:ptCount val="11"/>
                <c:pt idx="0">
                  <c:v>6.7068623366027467</c:v>
                </c:pt>
                <c:pt idx="1">
                  <c:v>6.5117453296447279</c:v>
                </c:pt>
                <c:pt idx="2">
                  <c:v>6.3368257311464413</c:v>
                </c:pt>
                <c:pt idx="3">
                  <c:v>6.1654178542314204</c:v>
                </c:pt>
                <c:pt idx="4">
                  <c:v>5.9964520886190211</c:v>
                </c:pt>
                <c:pt idx="5">
                  <c:v>5.8435444170313602</c:v>
                </c:pt>
                <c:pt idx="6">
                  <c:v>5.6767538022682817</c:v>
                </c:pt>
                <c:pt idx="7">
                  <c:v>5.5174528964647074</c:v>
                </c:pt>
                <c:pt idx="8">
                  <c:v>5.3518581334760666</c:v>
                </c:pt>
                <c:pt idx="9">
                  <c:v>5.2040066870767951</c:v>
                </c:pt>
                <c:pt idx="10">
                  <c:v>5.0434251169192468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E4C-4ABB-994D-992DA3CF66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1262655"/>
        <c:axId val="971273215"/>
      </c:scatterChart>
      <c:valAx>
        <c:axId val="971262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71273215"/>
        <c:crosses val="autoZero"/>
        <c:crossBetween val="midCat"/>
      </c:valAx>
      <c:valAx>
        <c:axId val="971273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712626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5.xml"/><Relationship Id="rId3" Type="http://schemas.openxmlformats.org/officeDocument/2006/relationships/chart" Target="../charts/chart3.xml"/><Relationship Id="rId7" Type="http://schemas.openxmlformats.org/officeDocument/2006/relationships/image" Target="../media/image3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2.png"/><Relationship Id="rId5" Type="http://schemas.openxmlformats.org/officeDocument/2006/relationships/image" Target="../media/image1.png"/><Relationship Id="rId4" Type="http://schemas.openxmlformats.org/officeDocument/2006/relationships/chart" Target="../charts/chart4.xml"/><Relationship Id="rId9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123825</xdr:colOff>
      <xdr:row>2</xdr:row>
      <xdr:rowOff>71437</xdr:rowOff>
    </xdr:from>
    <xdr:to>
      <xdr:col>15</xdr:col>
      <xdr:colOff>428625</xdr:colOff>
      <xdr:row>15</xdr:row>
      <xdr:rowOff>128587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E6E505DA-233A-5EB3-D6A0-206852508A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61912</xdr:colOff>
      <xdr:row>16</xdr:row>
      <xdr:rowOff>147637</xdr:rowOff>
    </xdr:from>
    <xdr:to>
      <xdr:col>15</xdr:col>
      <xdr:colOff>366712</xdr:colOff>
      <xdr:row>31</xdr:row>
      <xdr:rowOff>33337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080CF36C-3B57-2696-6A7E-EA52805419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38100</xdr:colOff>
      <xdr:row>15</xdr:row>
      <xdr:rowOff>100012</xdr:rowOff>
    </xdr:from>
    <xdr:to>
      <xdr:col>7</xdr:col>
      <xdr:colOff>314325</xdr:colOff>
      <xdr:row>29</xdr:row>
      <xdr:rowOff>176212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F8A34DB9-214D-5568-7FC6-13EA199574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4762</xdr:colOff>
      <xdr:row>10</xdr:row>
      <xdr:rowOff>119062</xdr:rowOff>
    </xdr:from>
    <xdr:to>
      <xdr:col>23</xdr:col>
      <xdr:colOff>309562</xdr:colOff>
      <xdr:row>24</xdr:row>
      <xdr:rowOff>138112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48205318-F480-FFAA-1F28-C68B0ABBE6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28575</xdr:colOff>
      <xdr:row>31</xdr:row>
      <xdr:rowOff>171450</xdr:rowOff>
    </xdr:from>
    <xdr:to>
      <xdr:col>2</xdr:col>
      <xdr:colOff>561975</xdr:colOff>
      <xdr:row>35</xdr:row>
      <xdr:rowOff>57150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8F0DE31C-E1D3-16BC-9364-F64F24E912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6315075"/>
          <a:ext cx="2047875" cy="647700"/>
        </a:xfrm>
        <a:prstGeom prst="rect">
          <a:avLst/>
        </a:prstGeom>
      </xdr:spPr>
    </xdr:pic>
    <xdr:clientData/>
  </xdr:twoCellAnchor>
  <xdr:twoCellAnchor editAs="oneCell">
    <xdr:from>
      <xdr:col>0</xdr:col>
      <xdr:colOff>266700</xdr:colOff>
      <xdr:row>51</xdr:row>
      <xdr:rowOff>152400</xdr:rowOff>
    </xdr:from>
    <xdr:to>
      <xdr:col>4</xdr:col>
      <xdr:colOff>95250</xdr:colOff>
      <xdr:row>59</xdr:row>
      <xdr:rowOff>85725</xdr:rowOff>
    </xdr:to>
    <xdr:pic>
      <xdr:nvPicPr>
        <xdr:cNvPr id="10" name="Рисунок 9">
          <a:extLst>
            <a:ext uri="{FF2B5EF4-FFF2-40B4-BE49-F238E27FC236}">
              <a16:creationId xmlns:a16="http://schemas.microsoft.com/office/drawing/2014/main" id="{6D32806F-3239-7783-D34D-A208867F91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10344150"/>
          <a:ext cx="2562225" cy="1457325"/>
        </a:xfrm>
        <a:prstGeom prst="rect">
          <a:avLst/>
        </a:prstGeom>
      </xdr:spPr>
    </xdr:pic>
    <xdr:clientData/>
  </xdr:twoCellAnchor>
  <xdr:twoCellAnchor editAs="oneCell">
    <xdr:from>
      <xdr:col>0</xdr:col>
      <xdr:colOff>9525</xdr:colOff>
      <xdr:row>62</xdr:row>
      <xdr:rowOff>133350</xdr:rowOff>
    </xdr:from>
    <xdr:to>
      <xdr:col>1</xdr:col>
      <xdr:colOff>495300</xdr:colOff>
      <xdr:row>65</xdr:row>
      <xdr:rowOff>0</xdr:rowOff>
    </xdr:to>
    <xdr:pic>
      <xdr:nvPicPr>
        <xdr:cNvPr id="13" name="Рисунок 12">
          <a:extLst>
            <a:ext uri="{FF2B5EF4-FFF2-40B4-BE49-F238E27FC236}">
              <a16:creationId xmlns:a16="http://schemas.microsoft.com/office/drawing/2014/main" id="{93B9AF06-640C-6102-6E6C-74C0972A1A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12420600"/>
          <a:ext cx="1390650" cy="438150"/>
        </a:xfrm>
        <a:prstGeom prst="rect">
          <a:avLst/>
        </a:prstGeom>
      </xdr:spPr>
    </xdr:pic>
    <xdr:clientData/>
  </xdr:twoCellAnchor>
  <xdr:twoCellAnchor>
    <xdr:from>
      <xdr:col>8</xdr:col>
      <xdr:colOff>314325</xdr:colOff>
      <xdr:row>38</xdr:row>
      <xdr:rowOff>71437</xdr:rowOff>
    </xdr:from>
    <xdr:to>
      <xdr:col>16</xdr:col>
      <xdr:colOff>9525</xdr:colOff>
      <xdr:row>51</xdr:row>
      <xdr:rowOff>128587</xdr:rowOff>
    </xdr:to>
    <xdr:graphicFrame macro="">
      <xdr:nvGraphicFramePr>
        <xdr:cNvPr id="15" name="Диаграмма 14">
          <a:extLst>
            <a:ext uri="{FF2B5EF4-FFF2-40B4-BE49-F238E27FC236}">
              <a16:creationId xmlns:a16="http://schemas.microsoft.com/office/drawing/2014/main" id="{2C982942-1A31-9C80-5348-B1BFFDCBB6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12</xdr:col>
      <xdr:colOff>381000</xdr:colOff>
      <xdr:row>53</xdr:row>
      <xdr:rowOff>57150</xdr:rowOff>
    </xdr:from>
    <xdr:to>
      <xdr:col>16</xdr:col>
      <xdr:colOff>457200</xdr:colOff>
      <xdr:row>63</xdr:row>
      <xdr:rowOff>38100</xdr:rowOff>
    </xdr:to>
    <xdr:pic>
      <xdr:nvPicPr>
        <xdr:cNvPr id="16" name="Рисунок 15" descr="Picture background">
          <a:extLst>
            <a:ext uri="{FF2B5EF4-FFF2-40B4-BE49-F238E27FC236}">
              <a16:creationId xmlns:a16="http://schemas.microsoft.com/office/drawing/2014/main" id="{0C7F9E54-E5A9-8EB8-80BA-E46984A8A3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91550" y="10629900"/>
          <a:ext cx="2514600" cy="1885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7"/>
  <sheetViews>
    <sheetView tabSelected="1" topLeftCell="A34" workbookViewId="0">
      <selection activeCell="H54" sqref="H54"/>
    </sheetView>
  </sheetViews>
  <sheetFormatPr defaultRowHeight="15" x14ac:dyDescent="0.25"/>
  <cols>
    <col min="1" max="1" width="13.5703125" customWidth="1"/>
    <col min="5" max="5" width="13.28515625" customWidth="1"/>
    <col min="6" max="6" width="12" bestFit="1" customWidth="1"/>
    <col min="8" max="8" width="24.85546875" customWidth="1"/>
  </cols>
  <sheetData>
    <row r="1" spans="1:6" ht="15.75" customHeight="1" x14ac:dyDescent="0.25">
      <c r="A1" s="1" t="s">
        <v>0</v>
      </c>
      <c r="B1" s="1" t="s">
        <v>1</v>
      </c>
      <c r="C1" s="2" t="s">
        <v>2</v>
      </c>
      <c r="D1" s="2" t="s">
        <v>4</v>
      </c>
      <c r="E1" s="1" t="s">
        <v>5</v>
      </c>
      <c r="F1" s="2" t="s">
        <v>6</v>
      </c>
    </row>
    <row r="2" spans="1:6" ht="16.5" thickBot="1" x14ac:dyDescent="0.3">
      <c r="A2" s="3"/>
      <c r="B2" s="3"/>
      <c r="C2" s="4" t="s">
        <v>3</v>
      </c>
      <c r="D2" s="4" t="s">
        <v>3</v>
      </c>
      <c r="E2" s="3"/>
      <c r="F2" s="4" t="s">
        <v>7</v>
      </c>
    </row>
    <row r="3" spans="1:6" ht="16.5" thickBot="1" x14ac:dyDescent="0.3">
      <c r="A3" s="5">
        <v>1</v>
      </c>
      <c r="B3" s="5">
        <v>30</v>
      </c>
      <c r="C3" s="5">
        <v>347</v>
      </c>
      <c r="D3" s="5">
        <v>818</v>
      </c>
      <c r="E3" s="5">
        <v>0.191</v>
      </c>
      <c r="F3" s="5">
        <v>27.9</v>
      </c>
    </row>
    <row r="4" spans="1:6" ht="16.5" thickBot="1" x14ac:dyDescent="0.3">
      <c r="A4" s="5">
        <v>2</v>
      </c>
      <c r="B4" s="5">
        <v>35</v>
      </c>
      <c r="C4" s="5">
        <v>355</v>
      </c>
      <c r="D4" s="5">
        <v>673</v>
      </c>
      <c r="E4" s="5">
        <v>0.21299999999999999</v>
      </c>
      <c r="F4" s="5">
        <v>17.5</v>
      </c>
    </row>
    <row r="5" spans="1:6" ht="16.5" thickBot="1" x14ac:dyDescent="0.3">
      <c r="A5" s="5">
        <v>3</v>
      </c>
      <c r="B5" s="5">
        <v>40</v>
      </c>
      <c r="C5" s="5">
        <v>363</v>
      </c>
      <c r="D5" s="5">
        <v>565</v>
      </c>
      <c r="E5" s="5">
        <v>0.252</v>
      </c>
      <c r="F5" s="5">
        <v>13.8</v>
      </c>
    </row>
    <row r="6" spans="1:6" ht="16.5" thickBot="1" x14ac:dyDescent="0.3">
      <c r="A6" s="5">
        <v>4</v>
      </c>
      <c r="B6" s="5">
        <v>45</v>
      </c>
      <c r="C6" s="5">
        <v>369</v>
      </c>
      <c r="D6" s="5">
        <v>476</v>
      </c>
      <c r="E6" s="5">
        <v>0.3</v>
      </c>
      <c r="F6" s="5">
        <v>13.8</v>
      </c>
    </row>
    <row r="7" spans="1:6" ht="16.5" thickBot="1" x14ac:dyDescent="0.3">
      <c r="A7" s="5">
        <v>5</v>
      </c>
      <c r="B7" s="5">
        <v>50</v>
      </c>
      <c r="C7" s="5">
        <v>375</v>
      </c>
      <c r="D7" s="5">
        <v>402</v>
      </c>
      <c r="E7" s="5">
        <v>0.36499999999999999</v>
      </c>
      <c r="F7" s="5">
        <v>18.100000000000001</v>
      </c>
    </row>
    <row r="8" spans="1:6" ht="16.5" thickBot="1" x14ac:dyDescent="0.3">
      <c r="A8" s="5">
        <v>6</v>
      </c>
      <c r="B8" s="5">
        <v>55</v>
      </c>
      <c r="C8" s="5">
        <v>380</v>
      </c>
      <c r="D8" s="5">
        <v>345</v>
      </c>
      <c r="E8" s="5">
        <v>0.50800000000000001</v>
      </c>
      <c r="F8" s="5">
        <v>20.3</v>
      </c>
    </row>
    <row r="9" spans="1:6" ht="16.5" thickBot="1" x14ac:dyDescent="0.3">
      <c r="A9" s="5">
        <v>7</v>
      </c>
      <c r="B9" s="5">
        <v>60</v>
      </c>
      <c r="C9" s="5">
        <v>385</v>
      </c>
      <c r="D9" s="5">
        <v>292</v>
      </c>
      <c r="E9" s="5">
        <v>0.73699999999999999</v>
      </c>
      <c r="F9" s="5">
        <v>9.8000000000000007</v>
      </c>
    </row>
    <row r="10" spans="1:6" ht="16.5" thickBot="1" x14ac:dyDescent="0.3">
      <c r="A10" s="5">
        <v>8</v>
      </c>
      <c r="B10" s="5">
        <v>65</v>
      </c>
      <c r="C10" s="5">
        <v>394</v>
      </c>
      <c r="D10" s="5">
        <v>249</v>
      </c>
      <c r="E10" s="6">
        <v>1.76</v>
      </c>
      <c r="F10" s="5">
        <v>8.9</v>
      </c>
    </row>
    <row r="11" spans="1:6" ht="16.5" thickBot="1" x14ac:dyDescent="0.3">
      <c r="A11" s="5">
        <v>9</v>
      </c>
      <c r="B11" s="5">
        <v>70</v>
      </c>
      <c r="C11" s="5">
        <v>403</v>
      </c>
      <c r="D11" s="5">
        <v>211</v>
      </c>
      <c r="E11" s="6">
        <v>3.72</v>
      </c>
      <c r="F11" s="5">
        <v>3.2</v>
      </c>
    </row>
    <row r="12" spans="1:6" ht="16.5" thickBot="1" x14ac:dyDescent="0.3">
      <c r="A12" s="5">
        <v>10</v>
      </c>
      <c r="B12" s="5">
        <v>75</v>
      </c>
      <c r="C12" s="5">
        <v>408</v>
      </c>
      <c r="D12" s="5">
        <v>182</v>
      </c>
      <c r="E12" s="6">
        <v>7.2</v>
      </c>
      <c r="F12" s="5">
        <v>8.6</v>
      </c>
    </row>
    <row r="13" spans="1:6" ht="16.5" thickBot="1" x14ac:dyDescent="0.3">
      <c r="A13" s="5">
        <v>11</v>
      </c>
      <c r="B13" s="5">
        <v>80</v>
      </c>
      <c r="C13" s="5">
        <v>416</v>
      </c>
      <c r="D13" s="5">
        <v>155</v>
      </c>
      <c r="E13" s="6">
        <v>11.7</v>
      </c>
      <c r="F13" s="5">
        <v>7.7</v>
      </c>
    </row>
    <row r="34" spans="1:7" x14ac:dyDescent="0.25">
      <c r="D34" s="7" t="s">
        <v>9</v>
      </c>
      <c r="E34">
        <f>(C3-C13)/(C13*B3-C3*B13)</f>
        <v>4.5157068062827224E-3</v>
      </c>
      <c r="F34" t="s">
        <v>17</v>
      </c>
      <c r="G34" t="s">
        <v>10</v>
      </c>
    </row>
    <row r="37" spans="1:7" ht="15.75" thickBot="1" x14ac:dyDescent="0.3"/>
    <row r="38" spans="1:7" ht="16.5" thickBot="1" x14ac:dyDescent="0.3">
      <c r="A38" s="8" t="s">
        <v>1</v>
      </c>
      <c r="B38" s="9" t="s">
        <v>12</v>
      </c>
      <c r="C38" s="9" t="s">
        <v>13</v>
      </c>
      <c r="D38" s="9" t="s">
        <v>14</v>
      </c>
      <c r="E38" s="9" t="s">
        <v>15</v>
      </c>
    </row>
    <row r="39" spans="1:7" ht="16.5" thickBot="1" x14ac:dyDescent="0.3">
      <c r="A39" s="10">
        <v>30</v>
      </c>
      <c r="B39" s="11">
        <v>303</v>
      </c>
      <c r="C39" s="11">
        <f>1/B39</f>
        <v>3.3003300330033004E-3</v>
      </c>
      <c r="D39" s="11">
        <f>D3</f>
        <v>818</v>
      </c>
      <c r="E39" s="11">
        <f>LN(D39)</f>
        <v>6.7068623366027467</v>
      </c>
    </row>
    <row r="40" spans="1:7" ht="16.5" thickBot="1" x14ac:dyDescent="0.3">
      <c r="A40" s="10">
        <v>35</v>
      </c>
      <c r="B40" s="11">
        <v>308</v>
      </c>
      <c r="C40" s="11">
        <f t="shared" ref="C40:C49" si="0">1/B40</f>
        <v>3.246753246753247E-3</v>
      </c>
      <c r="D40" s="11">
        <f t="shared" ref="D40:D49" si="1">D4</f>
        <v>673</v>
      </c>
      <c r="E40" s="11">
        <f t="shared" ref="E40:E49" si="2">LN(D40)</f>
        <v>6.5117453296447279</v>
      </c>
      <c r="F40" s="7"/>
    </row>
    <row r="41" spans="1:7" ht="16.5" thickBot="1" x14ac:dyDescent="0.3">
      <c r="A41" s="10">
        <v>40</v>
      </c>
      <c r="B41" s="11">
        <v>313</v>
      </c>
      <c r="C41" s="11">
        <f t="shared" si="0"/>
        <v>3.1948881789137379E-3</v>
      </c>
      <c r="D41" s="11">
        <f t="shared" si="1"/>
        <v>565</v>
      </c>
      <c r="E41" s="11">
        <f t="shared" si="2"/>
        <v>6.3368257311464413</v>
      </c>
    </row>
    <row r="42" spans="1:7" ht="16.5" thickBot="1" x14ac:dyDescent="0.3">
      <c r="A42" s="10">
        <v>45</v>
      </c>
      <c r="B42" s="11">
        <v>318</v>
      </c>
      <c r="C42" s="11">
        <f t="shared" si="0"/>
        <v>3.1446540880503146E-3</v>
      </c>
      <c r="D42" s="11">
        <f t="shared" si="1"/>
        <v>476</v>
      </c>
      <c r="E42" s="11">
        <f t="shared" si="2"/>
        <v>6.1654178542314204</v>
      </c>
    </row>
    <row r="43" spans="1:7" ht="16.5" thickBot="1" x14ac:dyDescent="0.3">
      <c r="A43" s="10">
        <v>50</v>
      </c>
      <c r="B43" s="11">
        <v>323</v>
      </c>
      <c r="C43" s="11">
        <f t="shared" si="0"/>
        <v>3.0959752321981426E-3</v>
      </c>
      <c r="D43" s="11">
        <f t="shared" si="1"/>
        <v>402</v>
      </c>
      <c r="E43" s="11">
        <f t="shared" si="2"/>
        <v>5.9964520886190211</v>
      </c>
    </row>
    <row r="44" spans="1:7" ht="16.5" thickBot="1" x14ac:dyDescent="0.3">
      <c r="A44" s="10">
        <v>55</v>
      </c>
      <c r="B44" s="11">
        <v>328</v>
      </c>
      <c r="C44" s="11">
        <f t="shared" si="0"/>
        <v>3.0487804878048782E-3</v>
      </c>
      <c r="D44" s="11">
        <f t="shared" si="1"/>
        <v>345</v>
      </c>
      <c r="E44" s="11">
        <f t="shared" si="2"/>
        <v>5.8435444170313602</v>
      </c>
    </row>
    <row r="45" spans="1:7" ht="16.5" thickBot="1" x14ac:dyDescent="0.3">
      <c r="A45" s="10">
        <v>60</v>
      </c>
      <c r="B45" s="11">
        <v>333</v>
      </c>
      <c r="C45" s="11">
        <f t="shared" si="0"/>
        <v>3.003003003003003E-3</v>
      </c>
      <c r="D45" s="11">
        <f t="shared" si="1"/>
        <v>292</v>
      </c>
      <c r="E45" s="11">
        <f t="shared" si="2"/>
        <v>5.6767538022682817</v>
      </c>
    </row>
    <row r="46" spans="1:7" ht="16.5" thickBot="1" x14ac:dyDescent="0.3">
      <c r="A46" s="10">
        <v>65</v>
      </c>
      <c r="B46" s="11">
        <v>338</v>
      </c>
      <c r="C46" s="11">
        <f t="shared" si="0"/>
        <v>2.9585798816568047E-3</v>
      </c>
      <c r="D46" s="11">
        <f t="shared" si="1"/>
        <v>249</v>
      </c>
      <c r="E46" s="11">
        <f t="shared" si="2"/>
        <v>5.5174528964647074</v>
      </c>
    </row>
    <row r="47" spans="1:7" ht="16.5" thickBot="1" x14ac:dyDescent="0.3">
      <c r="A47" s="10">
        <v>70</v>
      </c>
      <c r="B47" s="11">
        <v>343</v>
      </c>
      <c r="C47" s="11">
        <f t="shared" si="0"/>
        <v>2.9154518950437317E-3</v>
      </c>
      <c r="D47" s="11">
        <f t="shared" si="1"/>
        <v>211</v>
      </c>
      <c r="E47" s="11">
        <f t="shared" si="2"/>
        <v>5.3518581334760666</v>
      </c>
    </row>
    <row r="48" spans="1:7" ht="16.5" thickBot="1" x14ac:dyDescent="0.3">
      <c r="A48" s="10">
        <v>75</v>
      </c>
      <c r="B48" s="11">
        <v>348</v>
      </c>
      <c r="C48" s="11">
        <f t="shared" si="0"/>
        <v>2.8735632183908046E-3</v>
      </c>
      <c r="D48" s="11">
        <f t="shared" si="1"/>
        <v>182</v>
      </c>
      <c r="E48" s="11">
        <f t="shared" si="2"/>
        <v>5.2040066870767951</v>
      </c>
    </row>
    <row r="49" spans="1:8" ht="16.5" thickBot="1" x14ac:dyDescent="0.3">
      <c r="A49" s="10">
        <v>80</v>
      </c>
      <c r="B49" s="11">
        <v>353</v>
      </c>
      <c r="C49" s="11">
        <f t="shared" si="0"/>
        <v>2.8328611898016999E-3</v>
      </c>
      <c r="D49" s="11">
        <f t="shared" si="1"/>
        <v>155</v>
      </c>
      <c r="E49" s="11">
        <f t="shared" si="2"/>
        <v>5.0434251169192468</v>
      </c>
    </row>
    <row r="57" spans="1:8" x14ac:dyDescent="0.25">
      <c r="F57" s="7" t="s">
        <v>11</v>
      </c>
      <c r="G57">
        <f>(E49-E39)/(C49-C39)</f>
        <v>3558.3916316025502</v>
      </c>
      <c r="H57" t="s">
        <v>16</v>
      </c>
    </row>
    <row r="62" spans="1:8" x14ac:dyDescent="0.25">
      <c r="A62">
        <f>-1.38*10^(-23)</f>
        <v>-1.3800000000000001E-23</v>
      </c>
      <c r="B62" t="s">
        <v>19</v>
      </c>
    </row>
    <row r="63" spans="1:8" x14ac:dyDescent="0.25">
      <c r="H63">
        <f>(1.6*(10)^(-19))</f>
        <v>1.6000000000000002E-19</v>
      </c>
    </row>
    <row r="64" spans="1:8" x14ac:dyDescent="0.25">
      <c r="D64" s="7" t="s">
        <v>18</v>
      </c>
      <c r="E64">
        <f>-G57*A62</f>
        <v>4.9105804516115196E-20</v>
      </c>
      <c r="F64" t="s">
        <v>20</v>
      </c>
      <c r="G64" s="12"/>
      <c r="H64" s="14"/>
    </row>
    <row r="65" spans="5:6" x14ac:dyDescent="0.25">
      <c r="E65" s="13">
        <f>E64/H63</f>
        <v>0.30691127822571995</v>
      </c>
      <c r="F65" t="s">
        <v>21</v>
      </c>
    </row>
    <row r="67" spans="5:6" x14ac:dyDescent="0.25">
      <c r="E67" s="14"/>
    </row>
  </sheetData>
  <mergeCells count="3">
    <mergeCell ref="A1:A2"/>
    <mergeCell ref="B1:B2"/>
    <mergeCell ref="E1:E2"/>
  </mergeCells>
  <conditionalFormatting sqref="E10:E13">
    <cfRule type="timePeriod" dxfId="0" priority="1" timePeriod="lastMonth">
      <formula>AND(MONTH(E10)=MONTH(EDATE(TODAY(),0-1)),YEAR(E10)=YEAR(EDATE(TODAY(),0-1)))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Глеб Назаров</cp:lastModifiedBy>
  <dcterms:created xsi:type="dcterms:W3CDTF">2015-06-05T18:19:34Z</dcterms:created>
  <dcterms:modified xsi:type="dcterms:W3CDTF">2025-12-09T16:56:56Z</dcterms:modified>
</cp:coreProperties>
</file>