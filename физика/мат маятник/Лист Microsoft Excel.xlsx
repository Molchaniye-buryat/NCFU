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CFU\физика\мат маятник\"/>
    </mc:Choice>
  </mc:AlternateContent>
  <xr:revisionPtr revIDLastSave="0" documentId="13_ncr:1_{33599DA6-E155-4E10-B8EC-BC3C9E42EE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C18" i="2"/>
  <c r="B16" i="2"/>
  <c r="B17" i="2"/>
  <c r="B15" i="2"/>
  <c r="F4" i="2"/>
  <c r="F5" i="2"/>
  <c r="F6" i="2"/>
  <c r="F7" i="2"/>
  <c r="F8" i="2"/>
  <c r="F9" i="2"/>
  <c r="F10" i="2"/>
  <c r="F3" i="2"/>
  <c r="D5" i="2"/>
  <c r="D4" i="2"/>
  <c r="D6" i="2"/>
  <c r="D7" i="2"/>
  <c r="D8" i="2"/>
  <c r="D9" i="2"/>
  <c r="D10" i="2"/>
  <c r="D3" i="2"/>
</calcChain>
</file>

<file path=xl/sharedStrings.xml><?xml version="1.0" encoding="utf-8"?>
<sst xmlns="http://schemas.openxmlformats.org/spreadsheetml/2006/main" count="14" uniqueCount="12">
  <si>
    <t>№</t>
  </si>
  <si>
    <t>d, см</t>
  </si>
  <si>
    <t>N</t>
  </si>
  <si>
    <t>t, с</t>
  </si>
  <si>
    <t>Прямой маятник</t>
  </si>
  <si>
    <t>Перевёрнутый маятник</t>
  </si>
  <si>
    <t>T1, с</t>
  </si>
  <si>
    <t>T2, с</t>
  </si>
  <si>
    <t>T</t>
  </si>
  <si>
    <t>t</t>
  </si>
  <si>
    <t>T̄ =</t>
  </si>
  <si>
    <t xml:space="preserve"> =L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</si>
</sst>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  <font>
      <sz val="14"/>
      <color rgb="FF3F3F3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147856517939E-2"/>
          <c:y val="0.17171296296296296"/>
          <c:w val="0.88207038469303767"/>
          <c:h val="0.7060761365232735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Лист2!$A$3:$A$10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</c:numCache>
            </c:numRef>
          </c:xVal>
          <c:yVal>
            <c:numRef>
              <c:f>Лист2!$D$3:$D$10</c:f>
              <c:numCache>
                <c:formatCode>General</c:formatCode>
                <c:ptCount val="8"/>
                <c:pt idx="0">
                  <c:v>1.3</c:v>
                </c:pt>
                <c:pt idx="1">
                  <c:v>1.28</c:v>
                </c:pt>
                <c:pt idx="2">
                  <c:v>1.28</c:v>
                </c:pt>
                <c:pt idx="3">
                  <c:v>1.25</c:v>
                </c:pt>
                <c:pt idx="4">
                  <c:v>1.25</c:v>
                </c:pt>
                <c:pt idx="5">
                  <c:v>1.19</c:v>
                </c:pt>
                <c:pt idx="6">
                  <c:v>1.1800000000000002</c:v>
                </c:pt>
                <c:pt idx="7">
                  <c:v>1.17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6E-4B97-8B2B-F510A13D501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Лист2!$A$3:$A$10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</c:numCache>
            </c:numRef>
          </c:xVal>
          <c:yVal>
            <c:numRef>
              <c:f>Лист2!$F$3:$F$10</c:f>
              <c:numCache>
                <c:formatCode>General</c:formatCode>
                <c:ptCount val="8"/>
                <c:pt idx="0">
                  <c:v>1.92</c:v>
                </c:pt>
                <c:pt idx="1">
                  <c:v>1.7100000000000002</c:v>
                </c:pt>
                <c:pt idx="2">
                  <c:v>1.56</c:v>
                </c:pt>
                <c:pt idx="3">
                  <c:v>1.45</c:v>
                </c:pt>
                <c:pt idx="4">
                  <c:v>1.3199999999999998</c:v>
                </c:pt>
                <c:pt idx="5">
                  <c:v>1.22</c:v>
                </c:pt>
                <c:pt idx="6">
                  <c:v>1.1499999999999999</c:v>
                </c:pt>
                <c:pt idx="7">
                  <c:v>1.0900000000000001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6E-4B97-8B2B-F510A13D5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900079"/>
        <c:axId val="961900559"/>
      </c:scatterChart>
      <c:valAx>
        <c:axId val="96190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900559"/>
        <c:crosses val="autoZero"/>
        <c:crossBetween val="midCat"/>
      </c:valAx>
      <c:valAx>
        <c:axId val="96190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900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1047750</xdr:colOff>
      <xdr:row>21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B2CBDD8-0947-A27B-963A-BF369B314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6275"/>
          <a:ext cx="10477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323850</xdr:colOff>
      <xdr:row>3</xdr:row>
      <xdr:rowOff>195262</xdr:rowOff>
    </xdr:from>
    <xdr:to>
      <xdr:col>11</xdr:col>
      <xdr:colOff>1000125</xdr:colOff>
      <xdr:row>21</xdr:row>
      <xdr:rowOff>85725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5EC8C50-0119-DCF8-165A-9A3017844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F0F2-F753-4548-9B22-571393006311}">
  <dimension ref="A1:F21"/>
  <sheetViews>
    <sheetView tabSelected="1" zoomScaleNormal="100" workbookViewId="0">
      <selection activeCell="F14" sqref="F14"/>
    </sheetView>
  </sheetViews>
  <sheetFormatPr defaultColWidth="17.28515625" defaultRowHeight="15" x14ac:dyDescent="0.25"/>
  <sheetData>
    <row r="1" spans="1:6" ht="19.5" thickBot="1" x14ac:dyDescent="0.3">
      <c r="A1" s="4" t="s">
        <v>1</v>
      </c>
      <c r="B1" s="4" t="s">
        <v>2</v>
      </c>
      <c r="C1" s="6" t="s">
        <v>4</v>
      </c>
      <c r="D1" s="7"/>
      <c r="E1" s="6" t="s">
        <v>5</v>
      </c>
      <c r="F1" s="7"/>
    </row>
    <row r="2" spans="1:6" ht="19.5" thickBot="1" x14ac:dyDescent="0.3">
      <c r="A2" s="5"/>
      <c r="B2" s="5"/>
      <c r="C2" s="1" t="s">
        <v>3</v>
      </c>
      <c r="D2" s="1" t="s">
        <v>6</v>
      </c>
      <c r="E2" s="1" t="s">
        <v>3</v>
      </c>
      <c r="F2" s="1" t="s">
        <v>7</v>
      </c>
    </row>
    <row r="3" spans="1:6" ht="19.5" thickBot="1" x14ac:dyDescent="0.3">
      <c r="A3" s="2">
        <v>18</v>
      </c>
      <c r="B3" s="4">
        <v>10</v>
      </c>
      <c r="C3" s="1">
        <v>13</v>
      </c>
      <c r="D3" s="1">
        <f>C3/$B$3</f>
        <v>1.3</v>
      </c>
      <c r="E3" s="1">
        <v>19.2</v>
      </c>
      <c r="F3" s="1">
        <f>E3/$B$3</f>
        <v>1.92</v>
      </c>
    </row>
    <row r="4" spans="1:6" ht="19.5" thickBot="1" x14ac:dyDescent="0.3">
      <c r="A4" s="2">
        <v>16</v>
      </c>
      <c r="B4" s="8"/>
      <c r="C4" s="1">
        <v>12.8</v>
      </c>
      <c r="D4" s="1">
        <f t="shared" ref="D4:D10" si="0">C4/$B$3</f>
        <v>1.28</v>
      </c>
      <c r="E4" s="1">
        <v>17.100000000000001</v>
      </c>
      <c r="F4" s="1">
        <f t="shared" ref="F4:F10" si="1">E4/$B$3</f>
        <v>1.7100000000000002</v>
      </c>
    </row>
    <row r="5" spans="1:6" ht="19.5" thickBot="1" x14ac:dyDescent="0.3">
      <c r="A5" s="2">
        <v>14</v>
      </c>
      <c r="B5" s="8"/>
      <c r="C5" s="1">
        <v>12.8</v>
      </c>
      <c r="D5" s="1">
        <f>C5/$B$3</f>
        <v>1.28</v>
      </c>
      <c r="E5" s="1">
        <v>15.6</v>
      </c>
      <c r="F5" s="1">
        <f t="shared" si="1"/>
        <v>1.56</v>
      </c>
    </row>
    <row r="6" spans="1:6" ht="19.5" thickBot="1" x14ac:dyDescent="0.3">
      <c r="A6" s="2">
        <v>12</v>
      </c>
      <c r="B6" s="8"/>
      <c r="C6" s="1">
        <v>12.5</v>
      </c>
      <c r="D6" s="1">
        <f t="shared" si="0"/>
        <v>1.25</v>
      </c>
      <c r="E6" s="1">
        <v>14.5</v>
      </c>
      <c r="F6" s="1">
        <f t="shared" si="1"/>
        <v>1.45</v>
      </c>
    </row>
    <row r="7" spans="1:6" ht="19.5" thickBot="1" x14ac:dyDescent="0.3">
      <c r="A7" s="2">
        <v>10</v>
      </c>
      <c r="B7" s="8"/>
      <c r="C7" s="1">
        <v>12.5</v>
      </c>
      <c r="D7" s="1">
        <f t="shared" si="0"/>
        <v>1.25</v>
      </c>
      <c r="E7" s="1">
        <v>13.2</v>
      </c>
      <c r="F7" s="1">
        <f t="shared" si="1"/>
        <v>1.3199999999999998</v>
      </c>
    </row>
    <row r="8" spans="1:6" ht="19.5" thickBot="1" x14ac:dyDescent="0.3">
      <c r="A8" s="2">
        <v>8</v>
      </c>
      <c r="B8" s="8"/>
      <c r="C8" s="1">
        <v>11.9</v>
      </c>
      <c r="D8" s="1">
        <f t="shared" si="0"/>
        <v>1.19</v>
      </c>
      <c r="E8" s="1">
        <v>12.2</v>
      </c>
      <c r="F8" s="1">
        <f t="shared" si="1"/>
        <v>1.22</v>
      </c>
    </row>
    <row r="9" spans="1:6" ht="19.5" thickBot="1" x14ac:dyDescent="0.3">
      <c r="A9" s="2">
        <v>6</v>
      </c>
      <c r="B9" s="8"/>
      <c r="C9" s="1">
        <v>11.8</v>
      </c>
      <c r="D9" s="1">
        <f t="shared" si="0"/>
        <v>1.1800000000000002</v>
      </c>
      <c r="E9" s="1">
        <v>11.5</v>
      </c>
      <c r="F9" s="1">
        <f t="shared" si="1"/>
        <v>1.1499999999999999</v>
      </c>
    </row>
    <row r="10" spans="1:6" ht="19.5" thickBot="1" x14ac:dyDescent="0.3">
      <c r="A10" s="2">
        <v>4</v>
      </c>
      <c r="B10" s="5"/>
      <c r="C10" s="1">
        <v>11.7</v>
      </c>
      <c r="D10" s="1">
        <f t="shared" si="0"/>
        <v>1.17</v>
      </c>
      <c r="E10" s="1">
        <v>10.9</v>
      </c>
      <c r="F10" s="1">
        <f t="shared" si="1"/>
        <v>1.0900000000000001</v>
      </c>
    </row>
    <row r="13" spans="1:6" ht="15.75" thickBot="1" x14ac:dyDescent="0.3"/>
    <row r="14" spans="1:6" ht="19.5" thickBot="1" x14ac:dyDescent="0.3">
      <c r="A14" s="10" t="s">
        <v>0</v>
      </c>
      <c r="B14" s="9" t="s">
        <v>8</v>
      </c>
      <c r="C14" s="10" t="s">
        <v>9</v>
      </c>
      <c r="D14" s="10" t="s">
        <v>2</v>
      </c>
    </row>
    <row r="15" spans="1:6" ht="19.5" thickBot="1" x14ac:dyDescent="0.3">
      <c r="A15" s="1">
        <v>1</v>
      </c>
      <c r="B15" s="2">
        <f>C15/$D$15</f>
        <v>1.1775</v>
      </c>
      <c r="C15" s="1">
        <v>47.1</v>
      </c>
      <c r="D15" s="4">
        <v>40</v>
      </c>
    </row>
    <row r="16" spans="1:6" ht="19.5" thickBot="1" x14ac:dyDescent="0.3">
      <c r="A16" s="1">
        <v>2</v>
      </c>
      <c r="B16" s="2">
        <f t="shared" ref="B16:B17" si="2">C16/$D$15</f>
        <v>1.1724999999999999</v>
      </c>
      <c r="C16" s="1">
        <v>46.9</v>
      </c>
      <c r="D16" s="8"/>
    </row>
    <row r="17" spans="1:4" ht="19.5" thickBot="1" x14ac:dyDescent="0.3">
      <c r="A17" s="1">
        <v>3</v>
      </c>
      <c r="B17" s="2">
        <f t="shared" si="2"/>
        <v>1.175</v>
      </c>
      <c r="C17" s="3">
        <v>47</v>
      </c>
      <c r="D17" s="8"/>
    </row>
    <row r="18" spans="1:4" ht="19.5" thickBot="1" x14ac:dyDescent="0.3">
      <c r="A18" s="11"/>
      <c r="B18" s="12" t="s">
        <v>10</v>
      </c>
      <c r="C18" s="13">
        <f>AVERAGE(B15:B17)</f>
        <v>1.1749999999999998</v>
      </c>
      <c r="D18" s="13"/>
    </row>
    <row r="20" spans="1:4" x14ac:dyDescent="0.25">
      <c r="B20">
        <v>0.34</v>
      </c>
      <c r="C20" t="s">
        <v>11</v>
      </c>
    </row>
    <row r="21" spans="1:4" x14ac:dyDescent="0.25">
      <c r="B21">
        <f>4*(3.14)^2*(B20/C18^2)</f>
        <v>9.7123085559076543</v>
      </c>
    </row>
  </sheetData>
  <mergeCells count="7">
    <mergeCell ref="D15:D17"/>
    <mergeCell ref="C18:D18"/>
    <mergeCell ref="A1:A2"/>
    <mergeCell ref="B1:B2"/>
    <mergeCell ref="C1:D1"/>
    <mergeCell ref="E1:F1"/>
    <mergeCell ref="B3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2025-12-08T15:16:31Z</dcterms:modified>
</cp:coreProperties>
</file>